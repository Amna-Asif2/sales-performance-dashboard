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806A73AB-4A00-4B37-A38D-07EFED41B07A}" xr6:coauthVersionLast="47" xr6:coauthVersionMax="47" xr10:uidLastSave="{00000000-0000-0000-0000-000000000000}"/>
  <bookViews>
    <workbookView xWindow="-120" yWindow="-120" windowWidth="20730" windowHeight="11160" firstSheet="1" activeTab="3" xr2:uid="{58CD9549-D3E2-40F2-989B-ED71FAA0CC53}"/>
  </bookViews>
  <sheets>
    <sheet name="Sales by Year" sheetId="2" r:id="rId1"/>
    <sheet name="Sales by Product Line" sheetId="4" r:id="rId2"/>
    <sheet name="Sales by Country" sheetId="5" r:id="rId3"/>
    <sheet name="sales_data_sample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1" l="1"/>
  <c r="AA2" i="1"/>
  <c r="AA4" i="1"/>
</calcChain>
</file>

<file path=xl/sharedStrings.xml><?xml version="1.0" encoding="utf-8"?>
<sst xmlns="http://schemas.openxmlformats.org/spreadsheetml/2006/main" count="35039" uniqueCount="681">
  <si>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</si>
  <si>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</si>
  <si>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</si>
  <si>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</si>
  <si>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</si>
  <si>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</si>
  <si>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</si>
  <si>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</si>
  <si>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</si>
  <si>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</si>
  <si>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</si>
  <si>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</si>
  <si>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</si>
  <si>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</si>
  <si>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</si>
  <si>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</si>
  <si>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</si>
  <si>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</si>
  <si>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</si>
  <si>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</si>
  <si>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</si>
  <si>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</si>
  <si>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</si>
  <si>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</si>
  <si>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</si>
  <si>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</si>
  <si>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</si>
  <si>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</si>
  <si>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</si>
  <si>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</si>
  <si>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</si>
  <si>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</si>
  <si>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</si>
  <si>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</si>
  <si>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</si>
  <si>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</si>
  <si>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</si>
  <si>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</si>
  <si>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</si>
  <si>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</si>
  <si>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</si>
  <si>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</si>
  <si>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</si>
  <si>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</si>
  <si>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</si>
  <si>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</si>
  <si>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</si>
  <si>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</si>
  <si>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</si>
  <si>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</si>
  <si>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</si>
  <si>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</si>
  <si>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</si>
  <si>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</si>
  <si>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</si>
  <si>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</si>
  <si>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</si>
  <si>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</si>
  <si>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</si>
  <si>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</si>
  <si>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</si>
  <si>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</si>
  <si>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</si>
  <si>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</si>
  <si>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</si>
  <si>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</si>
  <si>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</si>
  <si>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</si>
  <si>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</si>
  <si>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</si>
  <si>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</si>
  <si>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</si>
  <si>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</si>
  <si>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</si>
  <si>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</si>
  <si>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</si>
  <si>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</si>
  <si>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</si>
  <si>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</si>
  <si>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</si>
  <si>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</si>
  <si>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</si>
  <si>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</si>
  <si>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</si>
  <si>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</si>
  <si>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</si>
  <si>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</si>
  <si>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</si>
  <si>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</si>
  <si>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</si>
  <si>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</si>
  <si>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</si>
  <si>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</si>
  <si>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</si>
  <si>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</si>
  <si>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</si>
  <si>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</si>
  <si>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</si>
  <si>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</si>
  <si>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</si>
  <si>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</si>
  <si>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</si>
  <si>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</si>
  <si>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</si>
  <si>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</si>
  <si>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</si>
  <si>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</si>
  <si>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</si>
  <si>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</si>
  <si>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</si>
  <si>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</si>
  <si>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</si>
  <si>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</si>
  <si>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</si>
  <si>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</si>
  <si>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</si>
  <si>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</si>
  <si>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</si>
  <si>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</si>
  <si>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</si>
  <si>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</si>
  <si>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</si>
  <si>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</si>
  <si>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</si>
  <si>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</si>
  <si>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</si>
  <si>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</si>
  <si>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</si>
  <si>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</si>
  <si>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</si>
  <si>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</si>
  <si>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</si>
  <si>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</si>
  <si>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</si>
  <si>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</si>
  <si>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</si>
  <si>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</si>
  <si>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</si>
  <si>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</si>
  <si>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</si>
  <si>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</si>
  <si>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</si>
  <si>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</si>
  <si>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</si>
  <si>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</si>
  <si>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</si>
  <si>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</si>
  <si>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</si>
  <si>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</si>
  <si>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</si>
  <si>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</si>
  <si>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</si>
  <si>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</si>
  <si>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</si>
  <si>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</si>
  <si>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</si>
  <si>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</si>
  <si>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</si>
  <si>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</si>
  <si>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</si>
  <si>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</si>
  <si>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</si>
  <si>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</si>
  <si>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</si>
  <si>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</si>
  <si>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</si>
  <si>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</si>
  <si>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</si>
  <si>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</si>
  <si>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</si>
  <si>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</si>
  <si>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</si>
  <si>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</si>
  <si>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</si>
  <si>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</si>
  <si>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</si>
  <si>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</si>
  <si>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</si>
  <si>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</si>
  <si>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</si>
  <si>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</si>
  <si>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</si>
  <si>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</si>
  <si>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</si>
  <si>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</si>
  <si>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</si>
  <si>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</si>
  <si>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</si>
  <si>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</si>
  <si>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</si>
  <si>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</si>
  <si>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</si>
  <si>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</si>
  <si>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</si>
  <si>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</si>
  <si>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</si>
  <si>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</si>
  <si>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</si>
  <si>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</si>
  <si>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</si>
  <si>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</si>
  <si>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</si>
  <si>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</si>
  <si>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</si>
  <si>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</si>
  <si>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</si>
  <si>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</si>
  <si>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</si>
  <si>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</si>
  <si>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</si>
  <si>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</si>
  <si>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</si>
  <si>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</si>
  <si>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</si>
  <si>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</si>
  <si>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</si>
  <si>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</si>
  <si>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</si>
  <si>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</si>
  <si>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</si>
  <si>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</si>
  <si>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</si>
  <si>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</si>
  <si>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</si>
  <si>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</si>
  <si>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</si>
  <si>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</si>
  <si>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</si>
  <si>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</si>
  <si>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</si>
  <si>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</si>
  <si>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</si>
  <si>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</si>
  <si>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</si>
  <si>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</si>
  <si>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</si>
  <si>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</si>
  <si>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</si>
  <si>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</si>
  <si>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</si>
  <si>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</si>
  <si>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</si>
  <si>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</si>
  <si>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</si>
  <si>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</si>
  <si>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</si>
  <si>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</si>
  <si>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</si>
  <si>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</si>
  <si>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</si>
  <si>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</si>
  <si>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</si>
  <si>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</si>
  <si>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</si>
  <si>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</si>
  <si>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</si>
  <si>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</si>
  <si>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</si>
  <si>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</si>
  <si>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</si>
  <si>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</si>
  <si>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</si>
  <si>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</si>
  <si>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</si>
  <si>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</si>
  <si>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</si>
  <si>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</si>
  <si>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</si>
  <si>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</si>
  <si>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</si>
  <si>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</si>
  <si>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</si>
  <si>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</si>
  <si>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</si>
  <si>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</si>
  <si>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</si>
  <si>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</si>
  <si>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</si>
  <si>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</si>
  <si>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</si>
  <si>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</si>
  <si>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</si>
  <si>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</si>
  <si>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</si>
  <si>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</si>
  <si>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</si>
  <si>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</si>
  <si>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</si>
  <si>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</si>
  <si>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</si>
  <si>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</si>
  <si>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</si>
  <si>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</si>
  <si>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</si>
  <si>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</si>
  <si>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</si>
  <si>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</si>
  <si>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</si>
  <si>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</si>
  <si>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</si>
  <si>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</si>
  <si>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</si>
  <si>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</si>
  <si>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</si>
  <si>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</si>
  <si>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</si>
  <si>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</si>
  <si>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</si>
  <si>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</si>
  <si>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</si>
  <si>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</si>
  <si>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</si>
  <si>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</si>
  <si>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</si>
  <si>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</si>
  <si>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</si>
  <si>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</si>
  <si>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</si>
  <si>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</si>
  <si>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</si>
  <si>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</si>
  <si>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</si>
  <si>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</si>
  <si>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</si>
  <si>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</si>
  <si>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</si>
  <si>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</si>
  <si>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</si>
  <si>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</si>
  <si>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</si>
  <si>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</si>
  <si>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</si>
  <si>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</si>
  <si>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</si>
  <si>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</si>
  <si>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</si>
  <si>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</si>
  <si>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</si>
  <si>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</si>
  <si>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</si>
  <si>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</si>
  <si>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</si>
  <si>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</si>
  <si>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</si>
  <si>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</si>
  <si>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</si>
  <si>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</si>
  <si>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</si>
  <si>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</si>
  <si>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</si>
  <si>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</si>
  <si>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</si>
  <si>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</si>
  <si>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</si>
  <si>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</si>
  <si>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</si>
  <si>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</si>
  <si>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</si>
  <si>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</si>
  <si>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</si>
  <si>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</si>
  <si>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</si>
  <si>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</si>
  <si>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</si>
  <si>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</si>
  <si>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</si>
  <si>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</si>
  <si>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</si>
  <si>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</si>
  <si>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</si>
  <si>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</si>
  <si>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</si>
  <si>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</si>
  <si>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</si>
  <si>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</si>
  <si>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</si>
  <si>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</si>
  <si>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</si>
  <si>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</si>
  <si>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</si>
  <si>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</si>
  <si>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</si>
  <si>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</si>
  <si>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</si>
  <si>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</si>
  <si>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</si>
  <si>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</si>
  <si>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</si>
  <si>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</si>
  <si>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</si>
  <si>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</si>
  <si>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</si>
  <si>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</si>
  <si>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</si>
  <si>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</si>
  <si>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</si>
  <si>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</si>
  <si>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</si>
  <si>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</si>
  <si>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</si>
  <si>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</si>
  <si>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</si>
  <si>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</si>
  <si>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</si>
  <si>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</si>
  <si>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</si>
  <si>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</si>
  <si>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</si>
  <si>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</si>
  <si>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</si>
  <si>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</si>
  <si>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</si>
  <si>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</si>
  <si>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</si>
  <si>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</si>
  <si>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</si>
  <si>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</si>
  <si>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</si>
  <si>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</si>
  <si>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</si>
  <si>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</si>
  <si>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</si>
  <si>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</si>
  <si>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</si>
  <si>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</si>
  <si>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</si>
  <si>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</si>
  <si>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</si>
  <si>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</si>
  <si>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</si>
  <si>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</si>
  <si>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</si>
  <si>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</si>
  <si>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</si>
  <si>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</si>
  <si>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</si>
  <si>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</si>
  <si>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</si>
  <si>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</si>
  <si>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</si>
  <si>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</si>
  <si>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</si>
  <si>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</si>
  <si>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</si>
  <si>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</si>
  <si>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</si>
  <si>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</si>
  <si>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</si>
  <si>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</si>
  <si>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</si>
  <si>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</si>
  <si>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</si>
  <si>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</si>
  <si>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</si>
  <si>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</si>
  <si>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</si>
  <si>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</si>
  <si>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</si>
  <si>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</si>
  <si>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</si>
  <si>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</si>
  <si>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</si>
  <si>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</si>
  <si>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</si>
  <si>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</si>
  <si>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</si>
  <si>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</si>
  <si>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</si>
  <si>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</si>
  <si>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</si>
  <si>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</si>
  <si>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</si>
  <si>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</si>
  <si>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</si>
  <si>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</si>
  <si>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</si>
  <si>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</si>
  <si>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</si>
  <si>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</si>
  <si>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</si>
  <si>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</si>
  <si>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</si>
  <si>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</si>
  <si>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</si>
  <si>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</si>
  <si>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</si>
  <si>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</si>
  <si>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</si>
  <si>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</si>
  <si>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</si>
  <si>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</si>
  <si>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</si>
  <si>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</si>
  <si>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</si>
  <si>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</si>
  <si>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</si>
  <si>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</si>
  <si>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</si>
  <si>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</si>
  <si>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</si>
  <si>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</si>
  <si>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</si>
  <si>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</si>
  <si>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</si>
  <si>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</si>
  <si>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</si>
  <si>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</si>
  <si>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</si>
  <si>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</si>
  <si>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</si>
  <si>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</si>
  <si>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</si>
  <si>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</si>
  <si>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</si>
  <si>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</si>
  <si>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</si>
  <si>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</si>
  <si>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</si>
  <si>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</si>
  <si>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</si>
  <si>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</si>
  <si>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</si>
  <si>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</si>
  <si>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</si>
  <si>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</si>
  <si>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</si>
  <si>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</si>
  <si>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</si>
  <si>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</si>
  <si>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</si>
  <si>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</si>
  <si>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</si>
  <si>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</si>
  <si>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</si>
  <si>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</si>
  <si>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</si>
  <si>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</si>
  <si>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</si>
  <si>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</si>
  <si>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</si>
  <si>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</si>
  <si>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</si>
  <si>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</si>
  <si>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</si>
  <si>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</si>
  <si>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</si>
  <si>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</si>
  <si>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</si>
  <si>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</si>
  <si>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</si>
  <si>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</si>
  <si>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</si>
  <si>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</si>
  <si>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</si>
  <si>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</si>
  <si>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</si>
  <si>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</si>
  <si>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</si>
  <si>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</si>
  <si>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</si>
  <si>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</si>
  <si>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</si>
  <si>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</si>
  <si>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</si>
  <si>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</si>
  <si>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</si>
  <si>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</si>
  <si>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</si>
  <si>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</si>
  <si>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</si>
  <si>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</si>
  <si>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</si>
  <si>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</si>
  <si>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</si>
  <si>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</si>
  <si>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</si>
  <si>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</si>
  <si>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</si>
  <si>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</si>
  <si>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</si>
  <si>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</si>
  <si>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</si>
  <si>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</si>
  <si>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</si>
  <si>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</si>
  <si>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</si>
  <si>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</si>
  <si>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</si>
  <si>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</si>
  <si>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</si>
  <si>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</si>
  <si>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</si>
  <si>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</si>
  <si>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</si>
  <si>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</si>
  <si>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</si>
  <si>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</si>
  <si>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</si>
  <si>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</si>
  <si>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</si>
  <si>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</si>
  <si>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</si>
  <si>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</si>
  <si>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</si>
  <si>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</si>
  <si>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</si>
  <si>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</si>
  <si>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</si>
  <si>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</si>
  <si>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</si>
  <si>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</si>
  <si>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</si>
  <si>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</si>
  <si>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</si>
  <si>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</si>
  <si>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</si>
  <si>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</si>
  <si>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</si>
  <si>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</si>
  <si>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</si>
  <si>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</si>
  <si>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</si>
  <si>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</si>
  <si>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</si>
  <si>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</si>
  <si>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</si>
  <si>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</si>
  <si>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</si>
  <si>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</si>
  <si>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</si>
  <si>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</si>
  <si>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</si>
  <si>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</si>
  <si>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</si>
  <si>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</si>
  <si>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</si>
  <si>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</si>
  <si>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</si>
  <si>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</si>
  <si>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</si>
  <si>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</si>
  <si>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</si>
  <si>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</si>
  <si>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</si>
  <si>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</si>
  <si>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</si>
  <si>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</si>
  <si>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</si>
  <si>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</si>
  <si>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</si>
  <si>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</si>
  <si>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</si>
  <si>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</si>
  <si>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</si>
  <si>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</si>
  <si>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</si>
  <si>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</si>
  <si>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</si>
  <si>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</si>
  <si>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</si>
  <si>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</si>
  <si>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</si>
  <si>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</si>
  <si>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</si>
  <si>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</si>
  <si>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</si>
  <si>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</si>
  <si>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</si>
  <si>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</si>
  <si>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</si>
  <si>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</si>
  <si>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</si>
  <si>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</si>
  <si>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</si>
  <si>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</si>
  <si>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 Sales</t>
  </si>
  <si>
    <t>Average Order Value</t>
  </si>
  <si>
    <t>Total Orders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</si>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</sst>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14" fontId="16" fillId="0" borderId="0" xfId="0" applyNumberFormat="1" applyFont="1"/>
    <xf numFmtId="14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" refreshedDate="46040.583531828706" createdVersion="8" refreshedVersion="8" minRefreshableVersion="3" recordCount="2823" xr:uid="{85EC3861-CADA-4973-829D-078A714BCB67}">
  <cacheSource type="worksheet">
    <worksheetSource ref="A1:Y2824" sheet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2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/>
    </cacheField>
    <cacheField name="SALES" numFmtId="2">
      <sharedItems containsSemiMixedTypes="0" containsString="0" containsNumber="1" minValue="482.13" maxValue="14082.8" count="2763">
        <n v="2871"/>
        <n v="2765.9"/>
        <n v="3884.34"/>
        <n v="3746.7"/>
        <n v="5205.2700000000004"/>
        <n v="3479.76"/>
        <n v="2497.77"/>
        <n v="5512.32"/>
        <n v="2168.54"/>
        <n v="4708.4399999999996"/>
        <n v="3965.66"/>
        <n v="2333.12"/>
        <n v="3188.64"/>
        <n v="3676.76"/>
        <n v="4177.3500000000004"/>
        <n v="4099.68"/>
        <n v="2597.39"/>
        <n v="4394.38"/>
        <n v="4358.04"/>
        <n v="4396.1400000000003"/>
        <n v="7737.93"/>
        <n v="1451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00000000003"/>
        <n v="7136.19"/>
        <n v="10172.700000000001"/>
        <n v="11623.7"/>
        <n v="6000.4"/>
        <n v="3003"/>
        <n v="3944.7"/>
        <n v="5691.84"/>
        <n v="4514.92"/>
        <n v="8254.7999999999993"/>
        <n v="2416.56"/>
        <n v="4140.2299999999996"/>
        <n v="12001"/>
        <n v="3896.49"/>
        <n v="2793.86"/>
        <n v="3307.77"/>
        <n v="5192.95"/>
        <n v="5016.83"/>
        <n v="3660.93"/>
        <n v="4695.6000000000004"/>
        <n v="3660.92"/>
        <n v="3025.92"/>
        <n v="3009.09"/>
        <n v="5422.39"/>
        <n v="2852.08"/>
        <n v="5756.52"/>
        <n v="4472"/>
        <n v="2904.44"/>
        <n v="6484.59"/>
        <n v="3757.26"/>
        <n v="4043.96"/>
        <n v="5566.5"/>
        <n v="3176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"/>
        <n v="8892.9"/>
        <n v="8714.7000000000007"/>
        <n v="8065.89"/>
        <n v="6123.4"/>
        <n v="9774.0300000000007"/>
        <n v="7023.9"/>
        <n v="7078.23"/>
        <n v="8336.94"/>
        <n v="6901.92"/>
        <n v="5438.07"/>
        <n v="6683.34"/>
        <n v="4570.3999999999996"/>
        <n v="7667.14"/>
        <n v="5868.2"/>
        <n v="2990.13"/>
        <n v="3664.1"/>
        <n v="3834.38"/>
        <n v="1822.17"/>
        <n v="11886.6"/>
        <n v="9218.16"/>
        <n v="7208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"/>
        <n v="2851.54"/>
        <n v="4428"/>
        <n v="5780.92"/>
        <n v="2297.0500000000002"/>
        <n v="6231.54"/>
        <n v="1735.3"/>
        <n v="4427.7299999999996"/>
        <n v="5894.94"/>
        <n v="5265.15"/>
        <n v="7599.9"/>
        <n v="8008.56"/>
        <n v="9245.76"/>
        <n v="8296.35"/>
        <n v="5019.8999999999996"/>
        <n v="5411.07"/>
        <n v="3840.9"/>
        <n v="3930.4"/>
        <n v="7498.9"/>
        <n v="4517.91"/>
        <n v="5774.72"/>
        <n v="3922.56"/>
        <n v="9160.36"/>
        <n v="9631"/>
        <n v="3432.24"/>
        <n v="5521.89"/>
        <n v="6934.62"/>
        <n v="6876.11"/>
        <n v="2930.27"/>
        <n v="3584.25"/>
        <n v="2817.87"/>
        <n v="3420"/>
        <n v="2575.04"/>
        <n v="1961.28"/>
        <n v="8690.36"/>
        <n v="6034.38"/>
        <n v="11279.2"/>
        <n v="8023.29"/>
        <n v="4904"/>
        <n v="8594.52"/>
        <n v="7474.5"/>
        <n v="3883.74"/>
        <n v="8887.7000000000007"/>
        <n v="8602.92"/>
        <n v="7181.44"/>
        <n v="8378.58"/>
        <n v="10606.2"/>
        <n v="5818.4"/>
        <n v="7071.27"/>
        <n v="8411.56"/>
        <n v="6570.76"/>
        <n v="7975.44"/>
        <n v="2688"/>
        <n v="1888.26"/>
        <n v="2513.2800000000002"/>
        <n v="4764.4799999999996"/>
        <n v="3560.64"/>
        <n v="3823.64"/>
        <n v="2280.96"/>
        <n v="8677.7999999999993"/>
        <n v="3394.98"/>
        <n v="3415.44"/>
        <n v="2439.5700000000002"/>
        <n v="4829.8"/>
        <n v="4100.1000000000004"/>
        <n v="6563.06"/>
        <n v="6817.22"/>
        <n v="6163.94"/>
        <n v="4933.92"/>
        <n v="4056.36"/>
        <n v="5759.42"/>
        <n v="3451"/>
        <n v="5920.4"/>
        <n v="6668.24"/>
        <n v="4094.72"/>
        <n v="2938.5"/>
        <n v="6387.8"/>
        <n v="6396"/>
        <n v="2669.1"/>
        <n v="4784.13"/>
        <n v="3273.93"/>
        <n v="3586.43"/>
        <n v="5960.36"/>
        <n v="8470.14"/>
        <n v="2952"/>
        <n v="2464.8000000000002"/>
        <n v="6232"/>
        <n v="7969.36"/>
        <n v="3036.6"/>
        <n v="8284"/>
        <n v="2711.2"/>
        <n v="8339.7999999999993"/>
        <n v="6238.84"/>
        <n v="4639.25"/>
        <n v="6747.6"/>
        <n v="4512.4799999999996"/>
        <n v="4029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00000000003"/>
        <n v="5393.64"/>
        <n v="4880.0200000000004"/>
        <n v="8378.69"/>
        <n v="4038.21"/>
        <n v="3807.12"/>
        <n v="3142.36"/>
        <n v="4713.6000000000004"/>
        <n v="7016.31"/>
        <n v="4381.25"/>
        <n v="4283.01"/>
        <n v="4364.82"/>
        <n v="4242.24"/>
        <n v="4982.7"/>
        <n v="6393.54"/>
        <n v="1466.91"/>
        <n v="4059.33"/>
        <n v="4801.5200000000004"/>
        <n v="2711.66"/>
        <n v="5862"/>
        <n v="4071.85"/>
        <n v="8236.75"/>
        <n v="6130.35"/>
        <n v="3693.34"/>
        <n v="6031.68"/>
        <n v="3494.94"/>
        <n v="5294.14"/>
        <n v="5464.69"/>
        <n v="2860.76"/>
        <n v="5590"/>
        <n v="2254.8000000000002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299999999996"/>
        <n v="7962.24"/>
        <n v="3778.8"/>
        <n v="8253"/>
        <n v="3633.4"/>
        <n v="6913.8"/>
        <n v="2583.6"/>
        <n v="3105.62"/>
        <n v="4408.5600000000004"/>
        <n v="3042.41"/>
        <n v="5941.5"/>
        <n v="3241.9"/>
        <n v="6109.29"/>
        <n v="3387.78"/>
        <n v="3485.82"/>
        <n v="2042.88"/>
        <n v="1800.24"/>
        <n v="1340.64"/>
        <n v="1762.08"/>
        <n v="2298.2399999999998"/>
        <n v="1628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000000000004"/>
        <n v="3731.04"/>
        <n v="2142"/>
        <n v="2838.81"/>
        <n v="3230.37"/>
        <n v="5182"/>
        <n v="4391.1000000000004"/>
        <n v="4477.32"/>
        <n v="3544.56"/>
        <n v="5195.8500000000004"/>
        <n v="4180.4399999999996"/>
        <n v="2684.43"/>
        <n v="1958.88"/>
        <n v="4910.57"/>
        <n v="4468.3999999999996"/>
        <n v="3127.88"/>
        <n v="2675.13"/>
        <n v="2807.61"/>
        <n v="2504.75"/>
        <n v="2984.88"/>
        <n v="2524.86"/>
        <n v="4136"/>
        <n v="4068.7"/>
        <n v="5243.79"/>
        <n v="9048.16"/>
        <n v="3832.64"/>
        <n v="3920"/>
        <n v="4916.66"/>
        <n v="3857"/>
        <n v="4181.4399999999996"/>
        <n v="4641"/>
        <n v="3570.12"/>
        <n v="4480.32"/>
        <n v="2033.64"/>
        <n v="1960.14"/>
        <n v="3966.78"/>
        <n v="5152"/>
        <n v="3360"/>
        <n v="5453"/>
        <n v="4164.12"/>
        <n v="2800.08"/>
        <n v="4687.9399999999996"/>
        <n v="4508"/>
        <n v="2251.04"/>
        <n v="1167.25"/>
        <n v="2083.1999999999998"/>
        <n v="3822"/>
        <n v="3911.49"/>
        <n v="4704"/>
        <n v="2467.9"/>
        <n v="3213"/>
        <n v="7182"/>
        <n v="4379.18"/>
        <n v="3644.75"/>
        <n v="2702.04"/>
        <n v="3764.88"/>
        <n v="5418.16"/>
        <n v="3300.66"/>
        <n v="6182.4"/>
        <n v="4186.7299999999996"/>
        <n v="4529.28"/>
        <n v="5628.89"/>
        <n v="3054.48"/>
        <n v="2526.5100000000002"/>
        <n v="4667.8599999999997"/>
        <n v="6499.32"/>
        <n v="5917.78"/>
        <n v="6231.91"/>
        <n v="5803.14"/>
        <n v="6434.02"/>
        <n v="6454.4"/>
        <n v="4196.8"/>
        <n v="2611.8000000000002"/>
        <n v="5895.05"/>
        <n v="3375.72"/>
        <n v="8374.69"/>
        <n v="4464.24"/>
        <n v="4808.3100000000004"/>
        <n v="3288.78"/>
        <n v="3254.72"/>
        <n v="3184.94"/>
        <n v="5907.5"/>
        <n v="4389.12"/>
        <n v="5036.16"/>
        <n v="2183.25"/>
        <n v="3106.88"/>
        <n v="3735.72"/>
        <n v="2413.2600000000002"/>
        <n v="2953.75"/>
        <n v="4684.8"/>
        <n v="3248.7"/>
        <n v="5239.5"/>
        <n v="4567.9799999999996"/>
        <n v="3535.35"/>
        <n v="3843.34"/>
        <n v="3710.9"/>
        <n v="4375.9799999999996"/>
        <n v="1516.62"/>
        <n v="2509"/>
        <n v="9240.44"/>
        <n v="2515.3200000000002"/>
        <n v="5548.9"/>
        <n v="4873.05"/>
        <n v="2055.7399999999998"/>
        <n v="2354.88"/>
        <n v="2309.58"/>
        <n v="2113.37"/>
        <n v="1746.6"/>
        <n v="2304.4499999999998"/>
        <n v="2122.08"/>
        <n v="1742.4"/>
        <n v="2455.02"/>
        <n v="3053.28"/>
        <n v="1423.29"/>
        <n v="1504.12"/>
        <n v="1164.4000000000001"/>
        <n v="1500.75"/>
        <n v="1557.36"/>
        <n v="1345.68"/>
        <n v="1795.24"/>
        <n v="1105.25"/>
        <n v="2364.88"/>
        <n v="2427.0300000000002"/>
        <n v="1237.95"/>
        <n v="1593.02"/>
        <n v="3156.16"/>
        <n v="1320.75"/>
        <n v="4998"/>
        <n v="1293.75"/>
        <n v="5433.08"/>
        <n v="3073.72"/>
        <n v="4380.2"/>
        <n v="5848.68"/>
        <n v="6153.73"/>
        <n v="4965.24"/>
        <n v="5435.64"/>
        <n v="4258.3599999999997"/>
        <n v="4032"/>
        <n v="4492.3599999999997"/>
        <n v="4161.38"/>
        <n v="2508.66"/>
        <n v="3374.88"/>
        <n v="5196.6000000000004"/>
        <n v="2604.52"/>
        <n v="2936.8"/>
        <n v="3424.64"/>
        <n v="2923.2"/>
        <n v="4489.76"/>
        <n v="4849.24"/>
        <n v="5848.92"/>
        <n v="2758.7"/>
        <n v="1449.76"/>
        <n v="7048.14"/>
        <n v="5202.9399999999996"/>
        <n v="5279.4"/>
        <n v="6916.12"/>
        <n v="2781.66"/>
        <n v="5248"/>
        <n v="6531.44"/>
        <n v="5763.72"/>
        <n v="6490.68"/>
        <n v="6004.8"/>
        <n v="7483.98"/>
        <n v="5719.5"/>
        <n v="6954.08"/>
        <n v="8160.3"/>
        <n v="6567.96"/>
        <n v="6724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"/>
        <n v="6069"/>
        <n v="2856"/>
        <n v="5375.4"/>
        <n v="5176.5"/>
        <n v="7554.8"/>
        <n v="3141.6"/>
        <n v="5890.5"/>
        <n v="5967"/>
        <n v="3712.8"/>
        <n v="7597.3"/>
        <n v="3668.6"/>
        <n v="5875.2"/>
        <n v="7310"/>
        <n v="8078.4"/>
        <n v="3257.76"/>
        <n v="7650"/>
        <n v="4703.8100000000004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099999999997"/>
        <n v="7060.24"/>
        <n v="8448.64"/>
        <n v="7300.51"/>
        <n v="6549.2"/>
        <n v="5697.9"/>
        <n v="9169"/>
        <n v="3238.63"/>
        <n v="4554.9399999999996"/>
        <n v="3934.44"/>
        <n v="5776.26"/>
        <n v="7207.45"/>
        <n v="7460.74"/>
        <n v="6719.54"/>
        <n v="2428"/>
        <n v="2602.25"/>
        <n v="2200"/>
        <n v="6712.93"/>
        <n v="5318.04"/>
        <n v="3390"/>
        <n v="1608"/>
        <n v="2262.96"/>
        <n v="1496.64"/>
        <n v="1879.74"/>
        <n v="1495.26"/>
        <n v="2323.6999999999998"/>
        <n v="2491.86"/>
        <n v="1643.12"/>
        <n v="1322.16"/>
        <n v="1423.8"/>
        <n v="2397.4499999999998"/>
        <n v="1574"/>
        <n v="1729"/>
        <n v="2255.84"/>
        <n v="1834.5"/>
        <n v="3201.5"/>
        <n v="2276.4"/>
        <n v="8884.7999999999993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599999999997"/>
        <n v="4816.08"/>
        <n v="3416.78"/>
        <n v="1236.8399999999999"/>
        <n v="5814.86"/>
        <n v="5223.4799999999996"/>
        <n v="728.4"/>
        <n v="3949"/>
        <n v="3843.99"/>
        <n v="5498.08"/>
        <n v="3777.58"/>
        <n v="3782"/>
        <n v="3859.68"/>
        <n v="4431.84"/>
        <n v="4950.33"/>
        <n v="4299.7"/>
        <n v="4492.83"/>
        <n v="2212"/>
        <n v="4642.88"/>
        <n v="3206.32"/>
        <n v="3604.23"/>
        <n v="7017.76"/>
        <n v="6154.18"/>
        <n v="4750.8"/>
        <n v="3822.92"/>
        <n v="2440.8000000000002"/>
        <n v="4729.3599999999997"/>
        <n v="12536.5"/>
        <n v="2264.15"/>
        <n v="3928.2"/>
        <n v="3630.22"/>
        <n v="4196.07"/>
        <n v="4931.6000000000004"/>
        <n v="3068.69"/>
        <n v="785.64"/>
        <n v="4977"/>
        <n v="1189.98"/>
        <n v="3090.15"/>
        <n v="2795.86"/>
        <n v="2701.92"/>
        <n v="2204.1"/>
        <n v="2840.48"/>
        <n v="2647.04"/>
        <n v="3172.05"/>
        <n v="2585.9299999999998"/>
        <n v="2148.3000000000002"/>
        <n v="1667.4"/>
        <n v="1859.7"/>
        <n v="1476.6"/>
        <n v="1732"/>
        <n v="1674.17"/>
        <n v="1500.98"/>
        <n v="2192.6799999999998"/>
        <n v="1797.58"/>
        <n v="2142.35"/>
        <n v="2086.92"/>
        <n v="6834.5"/>
        <n v="2541.59"/>
        <n v="2130.92"/>
        <n v="1701.7"/>
        <n v="1694"/>
        <n v="2913.53"/>
        <n v="935.18"/>
        <n v="3073.26"/>
        <n v="2082.4899999999998"/>
        <n v="3394.23"/>
        <n v="1490.16"/>
        <n v="3844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"/>
        <n v="2093.44"/>
        <n v="1944.3"/>
        <n v="1986.8"/>
        <n v="1695.96"/>
        <n v="1281.56"/>
        <n v="1774.22"/>
        <n v="1997.5"/>
        <n v="2353.1999999999998"/>
        <n v="981.2"/>
        <n v="1550.72"/>
        <n v="1771.06"/>
        <n v="2213.4"/>
        <n v="5266.04"/>
        <n v="1864.8"/>
        <n v="1142.4100000000001"/>
        <n v="1172.5999999999999"/>
        <n v="6981"/>
        <n v="3064.6"/>
        <n v="2202.48"/>
        <n v="3773.38"/>
        <n v="5074.3900000000003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"/>
        <n v="4455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3999999999996"/>
        <n v="3231.36"/>
        <n v="6853.44"/>
        <n v="5177.04"/>
        <n v="2824.8"/>
        <n v="4324.32"/>
        <n v="5052.96"/>
        <n v="3223.44"/>
        <n v="5278.68"/>
        <n v="2851.2"/>
        <n v="1687.4"/>
        <n v="1308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"/>
        <n v="2983.44"/>
        <n v="5126.24"/>
        <n v="5713.79"/>
        <n v="4613.8"/>
        <n v="3711.1"/>
        <n v="3524.73"/>
        <n v="4814.3999999999996"/>
        <n v="3572.33"/>
        <n v="4581.3599999999997"/>
        <n v="4319.76"/>
        <n v="1448"/>
        <n v="881.4"/>
        <n v="2011.1"/>
        <n v="1801.24"/>
        <n v="3390.2"/>
        <n v="1424"/>
        <n v="1499.1"/>
        <n v="3358.08"/>
        <n v="1504.16"/>
        <n v="2655.12"/>
        <n v="1244.1600000000001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00000000001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00000000002"/>
        <n v="2023.14"/>
        <n v="2586.64"/>
        <n v="1987.02"/>
        <n v="1146.5"/>
        <n v="2312.2399999999998"/>
        <n v="2793.71"/>
        <n v="1908.28"/>
        <n v="3441.37"/>
        <n v="2023.28"/>
        <n v="2245.1999999999998"/>
        <n v="3255.12"/>
        <n v="2539.5"/>
        <n v="4818.1499999999996"/>
        <n v="2921.7"/>
        <n v="1801.2"/>
        <n v="2804.36"/>
        <n v="4900.8"/>
        <n v="2759.31"/>
        <n v="2488.1999999999998"/>
        <n v="2769.89"/>
        <n v="3581.4"/>
        <n v="5285.14"/>
        <n v="3181.53"/>
        <n v="3340.51"/>
        <n v="3138.34"/>
        <n v="4775.08"/>
        <n v="3006.43"/>
        <n v="2866.26"/>
        <n v="2232.62"/>
        <n v="4457.0200000000004"/>
        <n v="2257.92"/>
        <n v="1592"/>
        <n v="4948.2"/>
        <n v="5160.76"/>
        <n v="1978.62"/>
        <n v="4288.2"/>
        <n v="2520.679999999999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3999999999996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"/>
        <n v="8209.44"/>
        <n v="3598.5"/>
        <n v="3837.24"/>
        <n v="8331.61"/>
        <n v="4836.5"/>
        <n v="5418.88"/>
        <n v="3734.01"/>
        <n v="3996.4"/>
        <n v="8754.69"/>
        <n v="5481.45"/>
        <n v="4419.8900000000003"/>
        <n v="6324.75"/>
        <n v="4409.72"/>
        <n v="3918.46"/>
        <n v="7620.5"/>
        <n v="8291.0400000000009"/>
        <n v="3937.25"/>
        <n v="5554.4"/>
        <n v="6407.86"/>
        <n v="4172.5200000000004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599999999991"/>
        <n v="4572.25"/>
        <n v="5700.09"/>
        <n v="3155.49"/>
        <n v="4170.6899999999996"/>
        <n v="2878.8"/>
        <n v="5029.5"/>
        <n v="7396.8"/>
        <n v="2991.68"/>
        <n v="6275.72"/>
        <n v="1534.95"/>
        <n v="7264.53"/>
        <n v="6869.05"/>
        <n v="3353.02"/>
        <n v="8289.0499999999993"/>
        <n v="11887.8"/>
        <n v="5926.9"/>
        <n v="3793.16"/>
        <n v="4330.1000000000004"/>
        <n v="2011.8"/>
        <n v="4837.18"/>
        <n v="2151.8200000000002"/>
        <n v="2573.46"/>
        <n v="5344.5"/>
        <n v="3070.52"/>
        <n v="3952.83"/>
        <n v="3564.75"/>
        <n v="5614.56"/>
        <n v="1855.41"/>
        <n v="4598.3999999999996"/>
        <n v="5082.42"/>
        <n v="5450.59"/>
        <n v="4174.92"/>
        <n v="2418.2399999999998"/>
        <n v="3670.4"/>
        <n v="2481.6999999999998"/>
        <n v="3807.68"/>
        <n v="2230.41"/>
        <n v="3814.64"/>
        <n v="2117.75"/>
        <n v="3340.48"/>
        <n v="2154"/>
        <n v="5808.48"/>
        <n v="1777.1"/>
        <n v="1536.57"/>
        <n v="3510"/>
        <n v="3097.44"/>
        <n v="1705.41"/>
        <n v="2264.3200000000002"/>
        <n v="2484.6"/>
        <n v="3415.68"/>
        <n v="2839.32"/>
        <n v="2730"/>
        <n v="3540.53"/>
        <n v="2999.97"/>
        <n v="1527.8"/>
        <n v="3907.8"/>
        <n v="2658.48"/>
        <n v="3042.68"/>
        <n v="3861.2"/>
        <n v="2171.0700000000002"/>
        <n v="3403.08"/>
        <n v="2245.8000000000002"/>
        <n v="1668.5"/>
        <n v="2773.8"/>
        <n v="2464"/>
        <n v="5491.6"/>
        <n v="4791.82"/>
        <n v="4178.8500000000004"/>
        <n v="3128.92"/>
        <n v="3095.4"/>
        <n v="3958.5"/>
        <n v="4991.4399999999996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"/>
        <n v="6548.3"/>
        <n v="3177.91"/>
        <n v="4142.6400000000003"/>
        <n v="4149.07"/>
        <n v="7397"/>
        <n v="6241.6"/>
        <n v="5331.88"/>
        <n v="5124.3"/>
        <n v="3639.44"/>
        <n v="5544"/>
        <n v="5493.12"/>
        <n v="5785.26"/>
        <n v="5340.6"/>
        <n v="5735.8"/>
        <n v="6357.6"/>
        <n v="7343.9"/>
        <n v="5959.22"/>
        <n v="4029.38"/>
        <n v="5035.1400000000003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1999999999998"/>
        <n v="3155.58"/>
        <n v="1357.86"/>
        <n v="2598.8200000000002"/>
        <n v="1057.56"/>
        <n v="3127.82"/>
        <n v="2488.14"/>
        <n v="2220.7199999999998"/>
        <n v="1357.72"/>
        <n v="1638.04"/>
        <n v="2626.08"/>
        <n v="1661.88"/>
        <n v="2173.6"/>
        <n v="2182.0500000000002"/>
        <n v="2819.88"/>
        <n v="2598.64"/>
        <n v="2019.27"/>
        <n v="1454.7"/>
        <n v="1657.57"/>
        <n v="2851.84"/>
        <n v="4609.6400000000003"/>
        <n v="5079.96"/>
        <n v="1879.92"/>
        <n v="4774.8599999999997"/>
        <n v="2687.04"/>
        <n v="3423.75"/>
        <n v="3455.76"/>
        <n v="3622.97"/>
        <n v="3599.58"/>
        <n v="5386.56"/>
        <n v="4918.78"/>
        <n v="2538.8000000000002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0999999999999"/>
        <n v="4811.8500000000004"/>
        <n v="7307.42"/>
        <n v="6209.25"/>
        <n v="5348.5"/>
        <n v="2780.58"/>
        <n v="3447"/>
        <n v="3791.52"/>
        <n v="4524.1000000000004"/>
        <n v="3337.6"/>
        <n v="5532.12"/>
        <n v="5096.91"/>
        <n v="4537.08"/>
        <n v="6146.8"/>
        <n v="8258"/>
        <n v="7238.28"/>
        <n v="6756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1999999999998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"/>
        <n v="3630.28"/>
        <n v="5090.5"/>
        <n v="3949.65"/>
        <n v="3491.67"/>
        <n v="2059.19"/>
        <n v="3170.16"/>
        <n v="1790.6"/>
        <n v="2345.9699999999998"/>
        <n v="3580.88"/>
        <n v="4946.0600000000004"/>
        <n v="3602.16"/>
        <n v="4300.5"/>
        <n v="4498.1899999999996"/>
        <n v="3023.1"/>
        <n v="3562.49"/>
        <n v="1640.24"/>
        <n v="4739.3999999999996"/>
        <n v="1207.68"/>
        <n v="4228.2"/>
        <n v="4815.45"/>
        <n v="7083"/>
        <n v="4601.2"/>
        <n v="6467.02"/>
        <n v="5012.55"/>
        <n v="5121.59"/>
        <n v="2441.04"/>
        <n v="4262.08"/>
        <n v="6658.02"/>
        <n v="4509.08"/>
        <n v="4716.2299999999996"/>
        <n v="2390.2199999999998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000000000004"/>
        <n v="5235.72"/>
        <n v="4325.16"/>
        <n v="1938.89"/>
        <n v="2490.5"/>
        <n v="2314.69"/>
        <n v="1254.83"/>
        <n v="1282.8"/>
        <n v="1345.75"/>
        <n v="2194.2199999999998"/>
        <n v="1972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499999999998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"/>
        <n v="6276.46"/>
        <n v="4203.5"/>
        <n v="1629.04"/>
        <n v="3289.86"/>
        <n v="6862.94"/>
        <n v="2574.1799999999998"/>
        <n v="1327.79"/>
        <n v="2356.25"/>
        <n v="2013.5"/>
        <n v="2807.22"/>
        <n v="3072.96"/>
        <n v="1906.5"/>
        <n v="3431.7"/>
        <n v="2084.75"/>
        <n v="2136.0100000000002"/>
        <n v="2009.7"/>
        <n v="2719.8"/>
        <n v="1575.08"/>
        <n v="1688.43"/>
        <n v="1672.1"/>
        <n v="1674.75"/>
        <n v="3472.98"/>
        <n v="1649.18"/>
        <n v="3751"/>
        <n v="4536"/>
        <n v="4421.34"/>
        <n v="2078.2800000000002"/>
        <n v="3069"/>
        <n v="1713.8"/>
        <n v="1506.5"/>
        <n v="2692.12"/>
        <n v="2422.08"/>
        <n v="3488.34"/>
        <n v="2583.34"/>
        <n v="1249.4000000000001"/>
        <n v="3374.71"/>
        <n v="1265.46"/>
        <n v="1681.46"/>
        <n v="3204"/>
        <n v="2398.7199999999998"/>
        <n v="2381.04"/>
        <n v="1944.54"/>
        <n v="2273.6999999999998"/>
        <n v="2116.5"/>
        <n v="1307.32"/>
        <n v="1726.37"/>
        <n v="1267.77"/>
        <n v="3441.82"/>
        <n v="1987.18"/>
        <n v="3880.2"/>
        <n v="1942.15"/>
        <n v="3259.92"/>
        <n v="1213.8"/>
        <n v="1086.5999999999999"/>
        <n v="1632.75"/>
        <n v="1734"/>
        <n v="1857.06"/>
        <n v="1863.41"/>
        <n v="2924.68"/>
        <n v="2294.1799999999998"/>
        <n v="1457.82"/>
        <n v="1955.88"/>
        <n v="2314.4"/>
        <n v="1310.96"/>
        <n v="2913.3"/>
        <n v="1357.78"/>
        <n v="2150"/>
        <n v="2783.25"/>
        <n v="2339.92"/>
        <n v="5972.4"/>
        <n v="2275.1999999999998"/>
        <n v="2673.44"/>
        <n v="2431.75"/>
        <n v="2018.72"/>
        <n v="1558.99"/>
        <n v="1104.5999999999999"/>
        <n v="2575.1"/>
        <n v="2845.75"/>
        <n v="3431.75"/>
        <n v="3273.9"/>
        <n v="4119.3999999999996"/>
        <n v="5355.68"/>
        <n v="5747.5"/>
        <n v="5355.36"/>
        <n v="2535.75"/>
        <n v="4351.2299999999996"/>
        <n v="2254"/>
        <n v="2921.28"/>
        <n v="2299"/>
        <n v="2637.18"/>
        <n v="4307.5200000000004"/>
        <n v="2153.7600000000002"/>
        <n v="3716.88"/>
        <n v="5455.76"/>
        <n v="2650.62"/>
        <n v="6437.28"/>
        <n v="2633.4"/>
        <n v="2278.5300000000002"/>
        <n v="4846"/>
        <n v="4197.1000000000004"/>
        <n v="4597.6499999999996"/>
        <n v="5287.7"/>
        <n v="3550.05"/>
        <n v="1721.73"/>
        <n v="2993.5"/>
        <n v="1295.06"/>
        <n v="2671.95"/>
        <n v="1226.5899999999999"/>
        <n v="1453.84"/>
        <n v="1830.22"/>
        <n v="2530.0100000000002"/>
        <n v="2241.4499999999998"/>
        <n v="2399.85"/>
        <n v="1557.72"/>
        <n v="845.25"/>
        <n v="1352.4"/>
        <n v="1584.8"/>
        <n v="2616"/>
        <n v="1129.04"/>
        <n v="2218.5"/>
        <n v="2028.48"/>
        <n v="1759.2"/>
        <n v="977.67"/>
        <n v="1463"/>
        <n v="3970.56"/>
        <n v="2576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"/>
        <n v="2310.88"/>
        <n v="4061.76"/>
        <n v="3493.7"/>
        <n v="2872.25"/>
        <n v="4114.38"/>
        <n v="1063.6500000000001"/>
        <n v="2008.44"/>
        <n v="4328.6000000000004"/>
        <n v="1376.43"/>
        <n v="5552.16"/>
        <n v="3659.02"/>
        <n v="4165.6099999999997"/>
        <n v="1404"/>
        <n v="710.2"/>
        <n v="1702.8"/>
        <n v="1194.8399999999999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"/>
        <n v="3685.95"/>
        <n v="703.6"/>
        <n v="9720"/>
        <n v="834.67"/>
        <n v="8344.7099999999991"/>
        <n v="1801.94"/>
        <n v="1209.5999999999999"/>
        <n v="3155.14"/>
        <n v="2848.86"/>
        <n v="3570.29"/>
        <n v="3902.41"/>
        <n v="1474.66"/>
        <n v="2186.89"/>
        <n v="1919.4"/>
        <n v="3656"/>
        <n v="1847"/>
        <n v="1851"/>
        <n v="2633.78"/>
        <n v="3153.6"/>
        <n v="2803.2"/>
        <n v="2311.02"/>
        <n v="2399.4"/>
        <n v="2733.12"/>
        <n v="2096.3200000000002"/>
        <n v="2971.34"/>
        <n v="2257.58"/>
        <n v="3493.91"/>
        <n v="4398.8999999999996"/>
        <n v="3595.62"/>
        <n v="2443.29"/>
        <n v="5168.3999999999996"/>
        <n v="6341.21"/>
        <n v="5189.78"/>
        <n v="6027.75"/>
        <n v="3366"/>
        <n v="5456.4"/>
        <n v="3812.16"/>
        <n v="6083"/>
        <n v="3170.7"/>
        <n v="4534.6000000000004"/>
        <n v="4301.1499999999996"/>
        <n v="6804.63"/>
        <n v="5652.94"/>
        <n v="6960.48"/>
        <n v="4512.6000000000004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199999999998"/>
        <n v="1560.47"/>
        <n v="1112.94"/>
        <n v="1138.94"/>
        <n v="1012.4"/>
        <n v="913.92"/>
        <n v="2349.06"/>
        <n v="1161.1199999999999"/>
        <n v="1764.75"/>
        <n v="1690.9"/>
        <n v="2137.0500000000002"/>
        <n v="2177.1"/>
        <n v="1734.48"/>
        <n v="865.49"/>
        <n v="3500.1"/>
        <n v="2223.52"/>
        <n v="2311.6799999999998"/>
        <n v="828.36"/>
        <n v="856.52"/>
        <n v="1845.45"/>
        <n v="4042.08"/>
        <n v="1828"/>
        <n v="3680.28"/>
        <n v="2925.09"/>
        <n v="3415.77"/>
        <n v="5105.1400000000003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"/>
        <n v="5510.54"/>
        <n v="2060.4499999999998"/>
        <n v="2460.16"/>
        <n v="1787.56"/>
        <n v="1645.65"/>
        <n v="2169.1799999999998"/>
        <n v="2816.18"/>
        <n v="2521.0500000000002"/>
        <n v="3199.98"/>
        <n v="1338.12"/>
        <n v="2972.58"/>
        <n v="2070.9"/>
        <n v="3092.6"/>
        <n v="2408.6999999999998"/>
        <n v="3472.54"/>
        <n v="2263.2800000000002"/>
        <n v="2194.17"/>
        <n v="1346.4"/>
        <n v="2533.63"/>
        <n v="3403.26"/>
        <n v="3307.2"/>
        <n v="2896.65"/>
        <n v="2632.89"/>
        <n v="2046"/>
        <n v="2279.5500000000002"/>
        <n v="2150.5500000000002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000000000002"/>
        <n v="2181"/>
        <n v="3382.08"/>
        <n v="2876.75"/>
        <n v="4107.2"/>
        <n v="1350"/>
        <n v="3933.93"/>
        <n v="721.44"/>
        <n v="1489.41"/>
        <n v="891.03"/>
        <n v="1209.3"/>
        <n v="859.14"/>
        <n v="1151.44"/>
        <n v="1336.44"/>
        <n v="905.28"/>
        <n v="1247.4000000000001"/>
        <n v="846.51"/>
        <n v="1085.04"/>
        <n v="1767.43"/>
        <n v="1030.44"/>
        <n v="1585.36"/>
        <n v="813.2"/>
        <n v="1172.3399999999999"/>
        <n v="1510.56"/>
        <n v="1448.07"/>
        <n v="3338.1"/>
        <n v="1225.29"/>
        <n v="1336.68"/>
        <n v="2985.84"/>
        <n v="5545.8"/>
        <n v="6089.6"/>
        <n v="1789.4"/>
        <n v="1082.0999999999999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1999999999998"/>
        <n v="2219.6999999999998"/>
        <n v="1496.25"/>
        <n v="1884"/>
        <n v="2166.14"/>
        <n v="2828.16"/>
        <n v="6214.45"/>
        <n v="1867"/>
        <n v="2676.72"/>
        <n v="2182.44"/>
        <n v="1479.84"/>
        <n v="1424.22"/>
        <n v="5942.28"/>
        <n v="2348.75"/>
        <n v="4392.12"/>
        <n v="2759.75"/>
        <n v="2728.03"/>
        <n v="2395.8000000000002"/>
        <n v="3052.33"/>
        <n v="4242"/>
        <n v="2790.45"/>
        <n v="4340.49"/>
        <n v="2762.2"/>
        <n v="4645.72"/>
        <n v="5580.96"/>
        <n v="6539.04"/>
        <n v="5548.95"/>
        <n v="4595.41"/>
        <n v="1859.44"/>
        <n v="2093.7600000000002"/>
        <n v="4223.13"/>
        <n v="1596.76"/>
        <n v="5820.35"/>
        <n v="5296.5"/>
        <n v="930.9"/>
        <n v="1207.44"/>
        <n v="717.4"/>
        <n v="1066.75"/>
        <n v="1554"/>
        <n v="1277.6400000000001"/>
        <n v="1578.79"/>
        <n v="917.7"/>
        <n v="777"/>
        <n v="1476.28"/>
        <n v="1538.46"/>
        <n v="891.2"/>
        <n v="1706.8"/>
        <n v="1373.6"/>
        <n v="1205.5899999999999"/>
        <n v="1427.4"/>
        <n v="1649.28"/>
        <n v="1383.03"/>
        <n v="1229.51"/>
        <n v="1140.48"/>
        <n v="1575.6"/>
        <n v="1386.72"/>
        <n v="5018.3999999999996"/>
        <n v="5856.85"/>
        <n v="4894.7299999999996"/>
        <n v="2094.3200000000002"/>
        <n v="640.04999999999995"/>
        <n v="3193.52"/>
        <n v="3066.7"/>
        <n v="3883.11"/>
        <n v="4814.25"/>
        <n v="2826.27"/>
        <n v="1593.2"/>
        <n v="3266.1"/>
        <n v="2453.5500000000002"/>
        <n v="3910.4"/>
        <n v="1788"/>
        <n v="3328.07"/>
        <n v="3053.7"/>
        <n v="2005.74"/>
        <n v="2796.12"/>
        <n v="3159.96"/>
        <n v="3908.62"/>
        <n v="2606.48"/>
        <n v="2081.7600000000002"/>
        <n v="3519.85"/>
        <n v="10758"/>
        <n v="3021"/>
        <n v="1891.56"/>
        <n v="4208.41"/>
        <n v="2246.4"/>
        <n v="6107.4"/>
        <n v="1987.74"/>
        <n v="4068.96"/>
        <n v="2282.2199999999998"/>
        <n v="1541"/>
        <n v="1951.92"/>
        <n v="3107.61"/>
        <n v="2328.64"/>
        <n v="3184.8"/>
        <n v="2149.7399999999998"/>
        <n v="2114.58"/>
        <n v="4256.5600000000004"/>
        <n v="2344.98"/>
        <n v="2328.66"/>
        <n v="3575.04"/>
        <n v="2076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"/>
        <n v="1506.96"/>
        <n v="2880.48"/>
        <n v="2206.6"/>
        <n v="2351.04"/>
        <n v="1205.04"/>
        <n v="2935.15"/>
        <n v="1263.8399999999999"/>
        <n v="1224.5999999999999"/>
        <n v="1359.4"/>
        <n v="1822.18"/>
        <n v="2163.7199999999998"/>
        <n v="1591.98"/>
        <n v="3078.5"/>
        <n v="2997.6"/>
        <n v="2747.8"/>
        <n v="2447.7600000000002"/>
        <n v="1910.84"/>
        <n v="2430.64"/>
        <n v="2896.3"/>
        <n v="1630.6"/>
        <n v="1459.6"/>
        <n v="1716.22"/>
        <n v="2560.4699999999998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"/>
        <n v="2231.6"/>
        <n v="2436.7800000000002"/>
        <n v="1254.5999999999999"/>
        <n v="3724.42"/>
        <n v="5203"/>
        <n v="3469.5"/>
        <n v="3148.2"/>
        <n v="2167.2199999999998"/>
        <n v="6244.07"/>
        <n v="5566"/>
        <n v="4368.96"/>
        <n v="4039.26"/>
        <n v="4420.32"/>
        <n v="2341.71"/>
        <n v="5110.9799999999996"/>
        <n v="6168"/>
        <n v="4873.26"/>
        <n v="2120.14"/>
        <n v="4236.1400000000003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799999999998"/>
        <n v="1697.3"/>
        <n v="2011.02"/>
        <n v="2306.25"/>
        <n v="1845"/>
        <n v="2493.12"/>
        <n v="1508.5"/>
        <n v="2394.3000000000002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"/>
        <n v="4479.63"/>
        <n v="5148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00000000001"/>
        <n v="2292.8000000000002"/>
        <n v="3286.49"/>
        <n v="2333.6999999999998"/>
        <n v="2675.05"/>
        <n v="4361.3999999999996"/>
        <n v="2018.58"/>
        <n v="3710.98"/>
        <n v="2847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799999999998"/>
        <n v="1717.64"/>
        <n v="4086.29"/>
        <n v="553.9500000000000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499999999996"/>
        <n v="6311.2"/>
        <n v="3070.54"/>
        <n v="4797.3900000000003"/>
        <n v="3832.38"/>
        <n v="4641.4799999999996"/>
        <n v="4000.26"/>
        <n v="5325.76"/>
        <n v="4618.6899999999996"/>
        <n v="3182.97"/>
        <n v="2603.04"/>
        <n v="1408.96"/>
        <n v="1972.11"/>
        <n v="5207.75"/>
        <n v="4253.2"/>
        <n v="2873"/>
        <n v="2253.6799999999998"/>
        <n v="3576.12"/>
        <n v="3276.13"/>
        <n v="1811.4"/>
        <n v="3845.1"/>
        <n v="2571.14"/>
        <n v="5035.1099999999997"/>
        <n v="2279"/>
        <n v="3213.87"/>
        <n v="3532.23"/>
        <n v="3406.59"/>
        <n v="3467.2"/>
        <n v="3628.94"/>
        <n v="4674.72"/>
        <n v="1656.69"/>
        <n v="5171.3999999999996"/>
        <n v="3342.57"/>
        <n v="4884.88"/>
        <n v="6267.69"/>
        <n v="4424.16"/>
        <n v="1962.09"/>
        <n v="6847"/>
        <n v="3476.8"/>
        <n v="4592.6099999999997"/>
        <n v="2208.92"/>
        <n v="1657.76"/>
        <n v="2479.21"/>
        <n v="3565.92"/>
        <n v="2797.41"/>
        <n v="3756"/>
        <n v="2840"/>
        <n v="1716.26"/>
        <n v="3245.6"/>
        <n v="2760.94"/>
        <n v="1808.4"/>
        <n v="1682.37"/>
        <n v="1491"/>
        <n v="1666.35"/>
        <n v="3666.08"/>
        <n v="2916.2"/>
        <n v="2616.98"/>
        <n v="3390.8"/>
        <n v="3146.5"/>
        <n v="1561.5"/>
        <n v="10039.6"/>
        <n v="3167"/>
        <n v="3521.25"/>
        <n v="4219.28"/>
        <n v="3581.76"/>
        <n v="2130.0100000000002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199999999998"/>
        <n v="4607.3599999999997"/>
        <n v="3598.99"/>
        <n v="3964.1"/>
        <n v="2244.9"/>
        <n v="2793"/>
        <n v="4133.6400000000003"/>
        <n v="3900.6"/>
        <n v="2743.04"/>
        <n v="2402.0700000000002"/>
        <n v="2178.54"/>
        <n v="3155.04"/>
        <n v="2366.2800000000002"/>
        <n v="1963.6"/>
        <n v="4746.28"/>
        <n v="6386.94"/>
        <n v="4044.04"/>
        <n v="2708.42"/>
        <n v="2904.72"/>
        <n v="3553.88"/>
        <n v="1858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000000000004"/>
        <n v="4992.6099999999997"/>
        <n v="4764.6000000000004"/>
        <n v="1173.1500000000001"/>
        <n v="1384.46"/>
        <n v="1327.59"/>
        <n v="1109.8"/>
        <n v="1239"/>
        <n v="1035.58"/>
        <n v="1545.64"/>
        <n v="1517.54"/>
        <n v="1731.84"/>
        <n v="1695.49"/>
        <n v="1045.98"/>
        <n v="1738.08"/>
        <n v="651.79999999999995"/>
        <n v="988.47"/>
        <n v="1518.11"/>
        <n v="1013.76"/>
        <n v="1549.8"/>
        <n v="1108.3800000000001"/>
        <n v="4102.5600000000004"/>
        <n v="3713.16"/>
        <n v="1513.54"/>
        <n v="2317.44"/>
        <n v="3298.4"/>
        <n v="1826.96"/>
        <n v="1206.9000000000001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"/>
        <n v="1727.1"/>
        <n v="8844.1200000000008"/>
        <n v="2424"/>
        <n v="1535.49"/>
        <n v="6358.68"/>
        <n v="1329.4"/>
        <n v="1701.76"/>
        <n v="2259.7199999999998"/>
        <n v="925.3"/>
        <n v="482.13"/>
        <n v="3227.63"/>
        <n v="1711.26"/>
        <n v="2054.36"/>
        <n v="3131.94"/>
        <n v="1681.35"/>
        <n v="2351.36"/>
        <n v="1408"/>
        <n v="2445.6"/>
        <n v="1804.44"/>
        <n v="2544.75"/>
        <n v="1056.4000000000001"/>
        <n v="2801.4"/>
        <n v="1988.4"/>
        <n v="2908.35"/>
        <n v="2147.4"/>
        <n v="2099.63"/>
        <n v="2315.1799999999998"/>
        <n v="2327.15"/>
        <n v="5377.4"/>
        <n v="2626.01"/>
        <n v="4406.3999999999996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499999999998"/>
        <n v="2191.1999999999998"/>
        <n v="3043.04"/>
        <n v="1228.2"/>
        <n v="1330.35"/>
        <n v="2792.52"/>
        <n v="2296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399999999998"/>
        <n v="1320.8"/>
        <n v="2642.82"/>
        <n v="3061"/>
        <n v="3164.4"/>
        <n v="1791.16"/>
        <n v="4093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"/>
        <n v="3251.34"/>
        <n v="2347.15"/>
        <n v="3920.88"/>
        <n v="2514.6"/>
        <n v="3600.24"/>
        <n v="4040.03"/>
        <n v="3336.9"/>
        <n v="3113.64"/>
        <n v="2832"/>
        <n v="3330.98"/>
        <n v="4304.6400000000003"/>
        <n v="2600.2600000000002"/>
        <n v="4382.16"/>
        <n v="4235"/>
        <n v="2626.8"/>
        <n v="5026.5600000000004"/>
        <n v="2201.62"/>
        <n v="4326.8"/>
        <n v="3425.18"/>
        <n v="4701.88"/>
        <n v="5189.3999999999996"/>
        <n v="1565.85"/>
        <n v="2480.38"/>
        <n v="1355.13"/>
        <n v="1246.44"/>
        <n v="820.4"/>
        <n v="2492.64"/>
        <n v="1113.5999999999999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00000000003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00000000001"/>
        <n v="3179.52"/>
        <n v="2091.1799999999998"/>
        <n v="1779.71"/>
        <n v="2537.64"/>
        <n v="2448.7199999999998"/>
        <n v="972.4"/>
        <n v="2856.14"/>
        <n v="1968.3"/>
        <n v="2056.1999999999998"/>
        <n v="2242.02"/>
        <n v="3128.65"/>
        <n v="2443.2600000000002"/>
        <n v="2470.86"/>
        <n v="1927.45"/>
        <n v="2051.56"/>
        <n v="2337.38"/>
        <n v="5932.96"/>
        <n v="2296.77"/>
        <n v="6490.88"/>
        <n v="1623.25"/>
        <n v="1405.92"/>
        <n v="2282.2800000000002"/>
        <n v="8977.0499999999993"/>
        <n v="3256.35"/>
        <n v="2821.66"/>
        <n v="3293.4"/>
        <n v="4224"/>
        <n v="3091.68"/>
        <n v="2219.6"/>
        <n v="3866.4"/>
        <n v="1964.76"/>
        <n v="2668.8"/>
        <n v="3222"/>
        <n v="3864.5"/>
        <n v="1366.8"/>
        <n v="3475.68"/>
        <n v="4206.5"/>
        <n v="1486.38"/>
        <n v="3077.88"/>
        <n v="3544.2"/>
        <n v="2483.04"/>
        <n v="3478.05"/>
        <n v="3657.8"/>
        <n v="4682.3599999999997"/>
        <n v="3937.7"/>
        <n v="4984.32"/>
        <n v="5406.66"/>
        <n v="3491.18"/>
        <n v="2118.54"/>
        <n v="2897.47"/>
        <n v="1916.75"/>
        <n v="1860"/>
        <n v="2780.81"/>
        <n v="3239.62"/>
        <n v="1824"/>
        <n v="1134"/>
        <n v="1487.41"/>
        <n v="2837.46"/>
        <n v="1942.77"/>
        <n v="2544.12"/>
        <n v="2568.2399999999998"/>
        <n v="2108"/>
        <n v="1372.14"/>
        <n v="3540.15"/>
        <n v="1958.84"/>
        <n v="2700"/>
        <n v="2542"/>
        <n v="234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000000000004"/>
        <n v="2224.9499999999998"/>
        <n v="2795.14"/>
        <n v="2762.1"/>
        <n v="2658"/>
        <n v="5043.87"/>
        <n v="1210.8"/>
        <n v="3029.19"/>
        <n v="10066.6"/>
        <n v="4121.43"/>
        <n v="1135.31"/>
        <n v="2100.8200000000002"/>
        <n v="2034.35"/>
        <n v="3027.84"/>
        <n v="3104"/>
        <n v="3612.43"/>
        <n v="2711.88"/>
        <n v="3013.97"/>
        <n v="2738.54"/>
        <n v="4720"/>
        <n v="2231"/>
        <n v="2296.84"/>
        <n v="4157.2"/>
        <n v="2146.1999999999998"/>
        <n v="3724.23"/>
        <n v="2084.81"/>
        <n v="3488.78"/>
        <n v="1753.06"/>
        <n v="3469.2"/>
        <n v="2530.8000000000002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799999999998"/>
        <n v="2172.48"/>
        <n v="2927.43"/>
        <n v="2659.54"/>
        <n v="3838"/>
        <n v="4142.16"/>
        <n v="1882.8"/>
        <n v="3477.86"/>
        <n v="3323.84"/>
        <n v="4195.8"/>
        <n v="4156.58"/>
        <n v="3918.75"/>
        <n v="2352.67"/>
        <n v="1089.3599999999999"/>
        <n v="2701.12"/>
        <n v="2487.04"/>
        <n v="3910.32"/>
        <n v="4038.8"/>
        <n v="3070.4"/>
        <n v="3763.46"/>
        <n v="2584.8000000000002"/>
        <n v="4427.6000000000004"/>
        <n v="2152.02"/>
        <n v="2353.4"/>
        <n v="3431.39"/>
        <n v="1930.5"/>
        <n v="4774.5600000000004"/>
        <n v="2592.7199999999998"/>
        <n v="3246.75"/>
        <n v="3372.5"/>
        <n v="3909.15"/>
        <n v="2994.75"/>
        <n v="4472.5200000000004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799999999998"/>
        <n v="2038.87"/>
        <n v="2499.2600000000002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199999999998"/>
        <n v="3091.19"/>
        <n v="2576.1999999999998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"/>
        <n v="3195.27"/>
        <n v="3611.16"/>
        <n v="2000.77"/>
        <n v="2314.2600000000002"/>
        <n v="3871.89"/>
        <n v="2728"/>
        <n v="5614"/>
        <n v="4628.8"/>
        <n v="3641.4"/>
        <n v="4048"/>
        <n v="2321.46"/>
        <n v="3256.96"/>
        <n v="4208"/>
        <n v="2973.9"/>
        <n v="4248.3"/>
        <n v="9558.7999999999993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"/>
        <n v="3199.86"/>
        <n v="2402.75"/>
        <n v="6055.72"/>
        <n v="5465.16"/>
        <n v="6378.72"/>
        <n v="5392.8"/>
        <n v="3986.5"/>
        <n v="4009.23"/>
        <n v="7119"/>
        <n v="4072.2"/>
        <n v="4094.51"/>
        <n v="3302.4"/>
        <n v="3186.48"/>
        <n v="1668.25"/>
        <n v="7154.5"/>
        <n v="2810.83"/>
        <n v="2018.31"/>
        <n v="5642.83"/>
        <n v="3273.6"/>
        <n v="3268"/>
        <n v="3715.2"/>
        <n v="4608"/>
        <n v="3131.2"/>
        <n v="2678.4"/>
        <n v="1747.2"/>
        <n v="2944"/>
        <n v="2956.8"/>
        <n v="2052"/>
        <n v="3164.8"/>
        <n v="1740"/>
        <n v="1777.6"/>
        <n v="1831.2"/>
        <n v="3609.6"/>
        <n v="2112"/>
        <n v="3644.12"/>
        <n v="3523.85"/>
        <n v="5001.92"/>
        <n v="5208.72"/>
        <n v="3018.88"/>
        <n v="1902.4"/>
        <n v="7084"/>
        <n v="3164.46"/>
        <n v="4219.2"/>
        <n v="3828.3"/>
        <n v="2334.9899999999998"/>
        <n v="4407.5"/>
        <n v="2812.8"/>
        <n v="4055.04"/>
        <n v="3891.66"/>
        <n v="2488.3200000000002"/>
        <n v="4447.3999999999996"/>
        <n v="4187.22"/>
        <n v="4615.68"/>
        <n v="3245.4"/>
        <n v="2203.75"/>
        <n v="3446"/>
        <n v="1939.3"/>
        <n v="3473.78"/>
        <n v="2884.8"/>
        <n v="2670.65"/>
        <n v="3440"/>
        <n v="2770.78"/>
        <n v="2397.54"/>
        <n v="3275.56"/>
        <n v="4143.6000000000004"/>
        <n v="5192.6400000000003"/>
        <n v="3029.04"/>
        <n v="2556.1799999999998"/>
        <n v="3753.9"/>
        <n v="2562.3000000000002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899999999998"/>
        <n v="2949.12"/>
        <n v="1539.72"/>
        <n v="2213.38"/>
        <n v="2919.58"/>
        <n v="3778.28"/>
        <n v="3233.49"/>
        <n v="3431.25"/>
        <n v="2546.8000000000002"/>
        <n v="2953.86"/>
        <n v="3183.29"/>
        <n v="2466.6999999999998"/>
        <n v="2363.2199999999998"/>
        <n v="2487.4499999999998"/>
        <n v="2249.0500000000002"/>
        <n v="2061.12"/>
        <n v="4071.14"/>
        <n v="2656.29"/>
        <n v="2736.36"/>
        <n v="3348.93"/>
        <n v="2893"/>
        <n v="1661.22"/>
        <n v="4277.3500000000004"/>
        <n v="2502.9"/>
        <n v="3801.6"/>
        <n v="3144.96"/>
        <n v="2031.4"/>
        <n v="2674.17"/>
        <n v="2526.7199999999998"/>
        <n v="1348.76"/>
        <n v="875.91"/>
        <n v="1874.05"/>
        <n v="1671.44"/>
        <n v="1668.4"/>
        <n v="2301.75"/>
        <n v="1459.92"/>
        <n v="1209.589999999999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000000000001"/>
        <n v="2419.62"/>
        <n v="1419.5"/>
        <n v="2184"/>
        <n v="2079.04"/>
        <n v="1724.97"/>
        <n v="1846.42"/>
        <n v="2009.2"/>
        <n v="1804.04"/>
        <n v="2109.66"/>
        <n v="2682.96"/>
        <n v="2280.2399999999998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</sharedItems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164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LASTNAME" numFmtId="0">
      <sharedItems/>
    </cacheField>
    <cacheField name="CONTACTFIRS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x v="0"/>
    <d v="2003-02-24T00:00:00"/>
    <s v="Shipped"/>
    <n v="1"/>
    <n v="2"/>
    <x v="0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s v="Small"/>
  </r>
  <r>
    <n v="10121"/>
    <n v="34"/>
    <n v="81.349999999999994"/>
    <n v="5"/>
    <x v="1"/>
    <d v="2003-05-07T00:00:00"/>
    <s v="Shipped"/>
    <n v="2"/>
    <n v="5"/>
    <x v="0"/>
    <x v="0"/>
    <n v="95"/>
    <s v="S10_1678"/>
    <s v="Reims Collectables"/>
    <s v="26.47.1555"/>
    <s v="59 rue de l'Abbaye"/>
    <m/>
    <s v="Reims"/>
    <m/>
    <n v="51100"/>
    <x v="1"/>
    <s v="EMEA"/>
    <s v="Henriot"/>
    <s v="Paul"/>
    <s v="Small"/>
  </r>
  <r>
    <n v="10134"/>
    <n v="41"/>
    <n v="94.74"/>
    <n v="2"/>
    <x v="2"/>
    <d v="2003-07-01T00:00:00"/>
    <s v="Shipped"/>
    <n v="3"/>
    <n v="7"/>
    <x v="0"/>
    <x v="0"/>
    <n v="95"/>
    <s v="S10_1678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5"/>
    <n v="83.26"/>
    <n v="6"/>
    <x v="3"/>
    <d v="2003-08-25T00:00:00"/>
    <s v="Shipped"/>
    <n v="3"/>
    <n v="8"/>
    <x v="0"/>
    <x v="0"/>
    <n v="95"/>
    <s v="S10_1678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49"/>
    <n v="100"/>
    <n v="14"/>
    <x v="4"/>
    <d v="2003-10-10T00:00:00"/>
    <s v="Shipped"/>
    <n v="4"/>
    <n v="10"/>
    <x v="0"/>
    <x v="0"/>
    <n v="95"/>
    <s v="S10_1678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36"/>
    <n v="96.66"/>
    <n v="1"/>
    <x v="5"/>
    <d v="2003-10-28T00:00:00"/>
    <s v="Shipped"/>
    <n v="4"/>
    <n v="10"/>
    <x v="0"/>
    <x v="0"/>
    <n v="95"/>
    <s v="S10_1678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29"/>
    <n v="86.13"/>
    <n v="9"/>
    <x v="6"/>
    <d v="2003-11-11T00:00:00"/>
    <s v="Shipped"/>
    <n v="4"/>
    <n v="11"/>
    <x v="0"/>
    <x v="0"/>
    <n v="95"/>
    <s v="S10_1678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48"/>
    <n v="100"/>
    <n v="1"/>
    <x v="7"/>
    <d v="2003-11-18T00:00:00"/>
    <s v="Shipped"/>
    <n v="4"/>
    <n v="11"/>
    <x v="0"/>
    <x v="0"/>
    <n v="95"/>
    <s v="S10_1678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2"/>
    <n v="98.57"/>
    <n v="2"/>
    <x v="8"/>
    <d v="2003-12-01T00:00:00"/>
    <s v="Shipped"/>
    <n v="4"/>
    <n v="12"/>
    <x v="0"/>
    <x v="0"/>
    <n v="95"/>
    <s v="S10_1678"/>
    <s v="Mini Wheels Co."/>
    <n v="6505555787"/>
    <s v="5557 North Pendale Street"/>
    <m/>
    <s v="San Francisco"/>
    <s v="CA"/>
    <m/>
    <x v="0"/>
    <s v="NA"/>
    <s v="Murphy"/>
    <s v="Julie"/>
    <s v="Small"/>
  </r>
  <r>
    <n v="10211"/>
    <n v="41"/>
    <n v="100"/>
    <n v="14"/>
    <x v="9"/>
    <d v="2004-01-15T00:00:00"/>
    <s v="Shipped"/>
    <n v="1"/>
    <n v="1"/>
    <x v="1"/>
    <x v="0"/>
    <n v="95"/>
    <s v="S10_1678"/>
    <s v="Auto Canal Petit"/>
    <s v="(1) 47.55.6555"/>
    <s v="25, rue Lauriston"/>
    <m/>
    <s v="Paris"/>
    <m/>
    <n v="75016"/>
    <x v="1"/>
    <s v="EMEA"/>
    <s v="Perrier"/>
    <s v="Dominique"/>
    <s v="Medium"/>
  </r>
  <r>
    <n v="10223"/>
    <n v="37"/>
    <n v="100"/>
    <n v="1"/>
    <x v="10"/>
    <d v="2004-02-20T00:00:00"/>
    <s v="Shipped"/>
    <n v="1"/>
    <n v="2"/>
    <x v="1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7"/>
    <n v="23"/>
    <n v="100"/>
    <n v="7"/>
    <x v="11"/>
    <d v="2004-04-05T00:00:00"/>
    <s v="Shipped"/>
    <n v="2"/>
    <n v="4"/>
    <x v="1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8"/>
    <n v="100"/>
    <n v="2"/>
    <x v="12"/>
    <d v="2004-05-18T00:00:00"/>
    <s v="Shipped"/>
    <n v="2"/>
    <n v="5"/>
    <x v="1"/>
    <x v="0"/>
    <n v="95"/>
    <s v="S10_1678"/>
    <s v="Tekni Collectables Inc."/>
    <n v="2015559350"/>
    <s v="7476 Moss Rd."/>
    <m/>
    <s v="Newark"/>
    <s v="NJ"/>
    <n v="94019"/>
    <x v="0"/>
    <s v="NA"/>
    <s v="Brown"/>
    <s v="William"/>
    <s v="Medium"/>
  </r>
  <r>
    <n v="10263"/>
    <n v="34"/>
    <n v="100"/>
    <n v="2"/>
    <x v="13"/>
    <d v="2004-06-28T00:00:00"/>
    <s v="Shipped"/>
    <n v="2"/>
    <n v="6"/>
    <x v="1"/>
    <x v="0"/>
    <n v="95"/>
    <s v="S10_1678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45"/>
    <n v="92.83"/>
    <n v="1"/>
    <x v="14"/>
    <d v="2004-07-23T00:00:00"/>
    <s v="Shipped"/>
    <n v="3"/>
    <n v="7"/>
    <x v="1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36"/>
    <n v="100"/>
    <n v="6"/>
    <x v="15"/>
    <d v="2004-08-27T00:00:00"/>
    <s v="Shipped"/>
    <n v="3"/>
    <n v="8"/>
    <x v="1"/>
    <x v="0"/>
    <n v="95"/>
    <s v="S10_167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3"/>
    <n v="100"/>
    <n v="9"/>
    <x v="16"/>
    <d v="2004-09-30T00:00:00"/>
    <s v="Shipped"/>
    <n v="3"/>
    <n v="9"/>
    <x v="1"/>
    <x v="0"/>
    <n v="95"/>
    <s v="S10_1678"/>
    <s v="Toys of Finland, Co."/>
    <s v="90-224 8555"/>
    <s v="Keskuskatu 45"/>
    <m/>
    <s v="Helsinki"/>
    <m/>
    <n v="21240"/>
    <x v="4"/>
    <s v="EMEA"/>
    <s v="Karttunen"/>
    <s v="Matti"/>
    <s v="Small"/>
  </r>
  <r>
    <n v="10309"/>
    <n v="41"/>
    <n v="100"/>
    <n v="5"/>
    <x v="17"/>
    <d v="2004-10-15T00:00:00"/>
    <s v="Shipped"/>
    <n v="4"/>
    <n v="10"/>
    <x v="1"/>
    <x v="0"/>
    <n v="95"/>
    <s v="S10_1678"/>
    <s v="Baane Mini Imports"/>
    <s v="07-98 9555"/>
    <s v="Erling Skakkes gate 78"/>
    <m/>
    <s v="Stavern"/>
    <m/>
    <n v="4110"/>
    <x v="2"/>
    <s v="EMEA"/>
    <s v="Bergulfsen"/>
    <s v="Jonas"/>
    <s v="Medium"/>
  </r>
  <r>
    <n v="10318"/>
    <n v="46"/>
    <n v="94.74"/>
    <n v="1"/>
    <x v="18"/>
    <d v="2004-11-02T00:00:00"/>
    <s v="Shipped"/>
    <n v="4"/>
    <n v="11"/>
    <x v="1"/>
    <x v="0"/>
    <n v="95"/>
    <s v="S10_1678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42"/>
    <n v="100"/>
    <n v="1"/>
    <x v="19"/>
    <d v="2004-11-15T00:00:00"/>
    <s v="Shipped"/>
    <n v="4"/>
    <n v="11"/>
    <x v="1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41"/>
    <n v="100"/>
    <n v="9"/>
    <x v="20"/>
    <d v="2004-11-24T00:00:00"/>
    <s v="Shipped"/>
    <n v="4"/>
    <n v="11"/>
    <x v="1"/>
    <x v="0"/>
    <n v="95"/>
    <s v="S10_1678"/>
    <s v="Salzburg Collectables"/>
    <s v="6562-9555"/>
    <s v="Geislweg 14"/>
    <m/>
    <s v="Salzburg"/>
    <m/>
    <n v="5020"/>
    <x v="5"/>
    <s v="EMEA"/>
    <s v="Pipps"/>
    <s v="Georg"/>
    <s v="Large"/>
  </r>
  <r>
    <n v="10361"/>
    <n v="20"/>
    <n v="72.55"/>
    <n v="13"/>
    <x v="21"/>
    <d v="2004-12-17T00:00:00"/>
    <s v="Shipped"/>
    <n v="4"/>
    <n v="12"/>
    <x v="1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21"/>
    <n v="34.909999999999997"/>
    <n v="12"/>
    <x v="22"/>
    <d v="2005-02-03T00:00:00"/>
    <s v="Shipped"/>
    <n v="1"/>
    <n v="2"/>
    <x v="2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s v="Small"/>
  </r>
  <r>
    <n v="10388"/>
    <n v="42"/>
    <n v="76.36"/>
    <n v="4"/>
    <x v="23"/>
    <d v="2005-03-03T00:00:00"/>
    <s v="Shipped"/>
    <n v="1"/>
    <n v="3"/>
    <x v="2"/>
    <x v="0"/>
    <n v="95"/>
    <s v="S10_1678"/>
    <s v="FunGiftIdeas.com"/>
    <n v="5085552555"/>
    <s v="1785 First Street"/>
    <m/>
    <s v="New Bedford"/>
    <s v="MA"/>
    <n v="50553"/>
    <x v="0"/>
    <s v="NA"/>
    <s v="Benitez"/>
    <s v="Violeta"/>
    <s v="Medium"/>
  </r>
  <r>
    <n v="10403"/>
    <n v="24"/>
    <n v="100"/>
    <n v="7"/>
    <x v="24"/>
    <d v="2005-04-08T00:00:00"/>
    <s v="Shipped"/>
    <n v="2"/>
    <n v="4"/>
    <x v="2"/>
    <x v="0"/>
    <n v="95"/>
    <s v="S10_1678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417"/>
    <n v="66"/>
    <n v="100"/>
    <n v="2"/>
    <x v="25"/>
    <d v="2005-05-13T00:00:00"/>
    <s v="Disputed"/>
    <n v="2"/>
    <n v="5"/>
    <x v="2"/>
    <x v="0"/>
    <n v="95"/>
    <s v="S10_1678"/>
    <s v="Euro Shopping Channel"/>
    <s v="(91) 555 94 44"/>
    <s v="C/ Moralzarzal, 86"/>
    <m/>
    <s v="Madrid"/>
    <m/>
    <n v="28034"/>
    <x v="7"/>
    <s v="EMEA"/>
    <s v="Freyre"/>
    <s v="Diego"/>
    <s v="Large"/>
  </r>
  <r>
    <n v="10103"/>
    <n v="26"/>
    <n v="100"/>
    <n v="11"/>
    <x v="26"/>
    <d v="2003-01-29T00:00:00"/>
    <s v="Shipped"/>
    <n v="1"/>
    <n v="1"/>
    <x v="0"/>
    <x v="1"/>
    <n v="214"/>
    <s v="S10_1949"/>
    <s v="Baane Mini Imports"/>
    <s v="07-98 9555"/>
    <s v="Erling Skakkes gate 78"/>
    <m/>
    <s v="Stavern"/>
    <m/>
    <n v="4110"/>
    <x v="2"/>
    <s v="EMEA"/>
    <s v="Bergulfsen"/>
    <s v="Jonas"/>
    <s v="Medium"/>
  </r>
  <r>
    <n v="10112"/>
    <n v="29"/>
    <n v="100"/>
    <n v="1"/>
    <x v="27"/>
    <d v="2003-03-24T00:00:00"/>
    <s v="Shipped"/>
    <n v="1"/>
    <n v="3"/>
    <x v="0"/>
    <x v="1"/>
    <n v="214"/>
    <s v="S10_1949"/>
    <s v="Volvo Model Replicas, Co"/>
    <s v="0921-12 3555"/>
    <s v="Berguvsv„gen  8"/>
    <m/>
    <s v="Lule"/>
    <m/>
    <s v="S-958 22"/>
    <x v="8"/>
    <s v="EMEA"/>
    <s v="Berglund"/>
    <s v="Christina"/>
    <s v="Large"/>
  </r>
  <r>
    <n v="10126"/>
    <n v="38"/>
    <n v="100"/>
    <n v="11"/>
    <x v="28"/>
    <d v="2003-05-28T00:00:00"/>
    <s v="Shipped"/>
    <n v="2"/>
    <n v="5"/>
    <x v="0"/>
    <x v="1"/>
    <n v="214"/>
    <s v="S10_1949"/>
    <s v="Corrida Auto Replicas, Ltd"/>
    <s v="(91) 555 22 82"/>
    <s v="C/ Araquil, 67"/>
    <m/>
    <s v="Madrid"/>
    <m/>
    <n v="28023"/>
    <x v="7"/>
    <s v="EMEA"/>
    <s v="Sommer"/>
    <s v="Mart¡n"/>
    <s v="Large"/>
  </r>
  <r>
    <n v="10140"/>
    <n v="37"/>
    <n v="100"/>
    <n v="11"/>
    <x v="29"/>
    <d v="2003-07-24T00:00:00"/>
    <s v="Shipped"/>
    <n v="3"/>
    <n v="7"/>
    <x v="0"/>
    <x v="1"/>
    <n v="214"/>
    <s v="S10_1949"/>
    <s v="Technics Stores Inc."/>
    <n v="6505556809"/>
    <s v="9408 Furth Circle"/>
    <m/>
    <s v="Burlingame"/>
    <s v="CA"/>
    <n v="94217"/>
    <x v="0"/>
    <s v="NA"/>
    <s v="Hirano"/>
    <s v="Juri"/>
    <s v="Large"/>
  </r>
  <r>
    <n v="10150"/>
    <n v="45"/>
    <n v="100"/>
    <n v="8"/>
    <x v="30"/>
    <d v="2003-09-19T00:00:00"/>
    <s v="Shipped"/>
    <n v="3"/>
    <n v="9"/>
    <x v="0"/>
    <x v="1"/>
    <n v="214"/>
    <s v="S10_1949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63"/>
    <n v="21"/>
    <n v="100"/>
    <n v="1"/>
    <x v="31"/>
    <d v="2003-10-20T00:00:00"/>
    <s v="Shipped"/>
    <n v="4"/>
    <n v="10"/>
    <x v="0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34"/>
    <n v="100"/>
    <n v="4"/>
    <x v="32"/>
    <d v="2003-11-06T00:00:00"/>
    <s v="Shipped"/>
    <n v="4"/>
    <n v="11"/>
    <x v="0"/>
    <x v="1"/>
    <n v="214"/>
    <s v="S10_1949"/>
    <s v="Australian Gift Network, Co"/>
    <s v="61-7-3844-6555"/>
    <s v="31 Duncan St. West End"/>
    <m/>
    <s v="South Brisbane"/>
    <s v="Queensland"/>
    <n v="4101"/>
    <x v="3"/>
    <s v="APAC"/>
    <s v="Calaghan"/>
    <s v="Tony"/>
    <s v="Large"/>
  </r>
  <r>
    <n v="10183"/>
    <n v="23"/>
    <n v="100"/>
    <n v="8"/>
    <x v="33"/>
    <d v="2003-11-13T00:00:00"/>
    <s v="Shipped"/>
    <n v="4"/>
    <n v="11"/>
    <x v="0"/>
    <x v="1"/>
    <n v="214"/>
    <s v="S10_1949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42"/>
    <n v="100"/>
    <n v="11"/>
    <x v="34"/>
    <d v="2003-11-25T00:00:00"/>
    <s v="Shipped"/>
    <n v="4"/>
    <n v="11"/>
    <x v="0"/>
    <x v="1"/>
    <n v="214"/>
    <s v="S10_1949"/>
    <s v="Saveley &amp; Henriot, Co."/>
    <s v="78.32.5555"/>
    <s v="2, rue du Commerce"/>
    <m/>
    <s v="Lyon"/>
    <m/>
    <n v="69004"/>
    <x v="1"/>
    <s v="EMEA"/>
    <s v="Saveley"/>
    <s v="Mary"/>
    <s v="Large"/>
  </r>
  <r>
    <n v="10206"/>
    <n v="47"/>
    <n v="100"/>
    <n v="6"/>
    <x v="35"/>
    <d v="2003-12-05T00:00:00"/>
    <s v="Shipped"/>
    <n v="4"/>
    <n v="12"/>
    <x v="0"/>
    <x v="1"/>
    <n v="214"/>
    <s v="S10_1949"/>
    <s v="Canadian Gift Exchange Network"/>
    <s v="(604) 555-3392"/>
    <s v="1900 Oak St."/>
    <m/>
    <s v="Vancouver"/>
    <s v="BC"/>
    <s v="V3F 2K1"/>
    <x v="10"/>
    <s v="NA"/>
    <s v="Tannamuri"/>
    <s v="Yoshi"/>
    <s v="Large"/>
  </r>
  <r>
    <n v="10215"/>
    <n v="35"/>
    <n v="100"/>
    <n v="3"/>
    <x v="36"/>
    <d v="2004-01-29T00:00:00"/>
    <s v="Shipped"/>
    <n v="1"/>
    <n v="1"/>
    <x v="1"/>
    <x v="1"/>
    <n v="214"/>
    <s v="S10_1949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29"/>
    <n v="100"/>
    <n v="2"/>
    <x v="37"/>
    <d v="2004-03-10T00:00:00"/>
    <s v="Shipped"/>
    <n v="1"/>
    <n v="3"/>
    <x v="1"/>
    <x v="1"/>
    <n v="214"/>
    <s v="S10_1949"/>
    <s v="Cambridge Collectables Co."/>
    <n v="6175555555"/>
    <s v="4658 Baden Av."/>
    <m/>
    <s v="Cambridge"/>
    <s v="MA"/>
    <n v="51247"/>
    <x v="0"/>
    <s v="NA"/>
    <s v="Tseng"/>
    <s v="Kyung"/>
    <s v="Medium"/>
  </r>
  <r>
    <n v="10245"/>
    <n v="34"/>
    <n v="100"/>
    <n v="9"/>
    <x v="38"/>
    <d v="2004-05-04T00:00:00"/>
    <s v="Shipped"/>
    <n v="2"/>
    <n v="5"/>
    <x v="1"/>
    <x v="1"/>
    <n v="214"/>
    <s v="S10_1949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32"/>
    <n v="100"/>
    <n v="6"/>
    <x v="39"/>
    <d v="2004-06-15T00:00:00"/>
    <s v="Shipped"/>
    <n v="2"/>
    <n v="6"/>
    <x v="1"/>
    <x v="1"/>
    <n v="214"/>
    <s v="S10_1949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270"/>
    <n v="21"/>
    <n v="100"/>
    <n v="9"/>
    <x v="40"/>
    <d v="2004-07-19T00:00:00"/>
    <s v="Shipped"/>
    <n v="3"/>
    <n v="7"/>
    <x v="1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34"/>
    <n v="100"/>
    <n v="2"/>
    <x v="32"/>
    <d v="2004-08-17T00:00:00"/>
    <s v="Shipped"/>
    <n v="3"/>
    <n v="8"/>
    <x v="1"/>
    <x v="1"/>
    <n v="214"/>
    <s v="S10_1949"/>
    <s v="Amica Models &amp; Co."/>
    <s v="011-4988555"/>
    <s v="Via Monte Bianco 34"/>
    <m/>
    <s v="Torino"/>
    <m/>
    <n v="10100"/>
    <x v="12"/>
    <s v="EMEA"/>
    <s v="Accorti"/>
    <s v="Paolo"/>
    <s v="Large"/>
  </r>
  <r>
    <n v="10291"/>
    <n v="37"/>
    <n v="100"/>
    <n v="11"/>
    <x v="41"/>
    <d v="2004-09-08T00:00:00"/>
    <s v="Shipped"/>
    <n v="3"/>
    <n v="9"/>
    <x v="1"/>
    <x v="1"/>
    <n v="214"/>
    <s v="S10_1949"/>
    <s v="Scandinavian Gift Ideas"/>
    <s v="0695-34 6555"/>
    <s v="?kergatan 24"/>
    <m/>
    <s v="Boras"/>
    <m/>
    <s v="S-844 67"/>
    <x v="8"/>
    <s v="EMEA"/>
    <s v="Larsson"/>
    <s v="Maria"/>
    <s v="Large"/>
  </r>
  <r>
    <n v="10304"/>
    <n v="47"/>
    <n v="100"/>
    <n v="6"/>
    <x v="42"/>
    <d v="2004-10-11T00:00:00"/>
    <s v="Shipped"/>
    <n v="4"/>
    <n v="10"/>
    <x v="1"/>
    <x v="1"/>
    <n v="214"/>
    <s v="S10_1949"/>
    <s v="Auto Assoc. &amp; Cie."/>
    <s v="30.59.8555"/>
    <s v="67, avenue de l'Europe"/>
    <m/>
    <s v="Versailles"/>
    <m/>
    <n v="78000"/>
    <x v="1"/>
    <s v="EMEA"/>
    <s v="Tonini"/>
    <s v="Daniel"/>
    <s v="Large"/>
  </r>
  <r>
    <n v="10312"/>
    <n v="48"/>
    <n v="100"/>
    <n v="3"/>
    <x v="43"/>
    <d v="2004-10-21T00:00:00"/>
    <s v="Shipped"/>
    <n v="4"/>
    <n v="10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22"/>
    <n v="40"/>
    <n v="100"/>
    <n v="1"/>
    <x v="44"/>
    <d v="2004-11-04T00:00:00"/>
    <s v="Shipped"/>
    <n v="4"/>
    <n v="11"/>
    <x v="1"/>
    <x v="1"/>
    <n v="214"/>
    <s v="S10_194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26"/>
    <n v="100"/>
    <n v="3"/>
    <x v="45"/>
    <d v="2004-11-18T00:00:00"/>
    <s v="Shipped"/>
    <n v="4"/>
    <n v="11"/>
    <x v="1"/>
    <x v="1"/>
    <n v="214"/>
    <s v="S10_1949"/>
    <s v="Mini Wheels Co."/>
    <n v="6505555787"/>
    <s v="5557 North Pendale Street"/>
    <m/>
    <s v="San Francisco"/>
    <s v="CA"/>
    <m/>
    <x v="0"/>
    <s v="NA"/>
    <s v="Murphy"/>
    <s v="Julie"/>
    <s v="Medium"/>
  </r>
  <r>
    <n v="10347"/>
    <n v="30"/>
    <n v="100"/>
    <n v="1"/>
    <x v="46"/>
    <d v="2004-11-29T00:00:00"/>
    <s v="Shipped"/>
    <n v="4"/>
    <n v="11"/>
    <x v="1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32"/>
    <n v="100"/>
    <n v="10"/>
    <x v="47"/>
    <d v="2004-12-10T00:00:00"/>
    <s v="Shipped"/>
    <n v="4"/>
    <n v="12"/>
    <x v="1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41"/>
    <n v="100"/>
    <n v="2"/>
    <x v="48"/>
    <d v="2005-01-20T00:00:00"/>
    <s v="Shipped"/>
    <n v="1"/>
    <n v="1"/>
    <x v="2"/>
    <x v="1"/>
    <n v="214"/>
    <s v="S10_1949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36"/>
    <n v="100"/>
    <n v="3"/>
    <x v="49"/>
    <d v="2005-02-17T00:00:00"/>
    <s v="Shipped"/>
    <n v="1"/>
    <n v="2"/>
    <x v="2"/>
    <x v="1"/>
    <n v="214"/>
    <s v="S10_1949"/>
    <s v="Corporate Gift Ideas Co."/>
    <n v="6505551386"/>
    <s v="7734 Strong St."/>
    <m/>
    <s v="San Francisco"/>
    <s v="CA"/>
    <m/>
    <x v="0"/>
    <s v="NA"/>
    <s v="Brown"/>
    <s v="Julie"/>
    <s v="Large"/>
  </r>
  <r>
    <n v="10391"/>
    <n v="24"/>
    <n v="100"/>
    <n v="4"/>
    <x v="50"/>
    <d v="2005-03-09T00:00:00"/>
    <s v="Shipped"/>
    <n v="1"/>
    <n v="3"/>
    <x v="2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3"/>
    <n v="100"/>
    <n v="9"/>
    <x v="51"/>
    <d v="2005-05-01T00:00:00"/>
    <s v="Shipped"/>
    <n v="2"/>
    <n v="5"/>
    <x v="2"/>
    <x v="1"/>
    <n v="214"/>
    <s v="S10_1949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50"/>
    <n v="100"/>
    <n v="6"/>
    <x v="52"/>
    <d v="2005-05-31T00:00:00"/>
    <s v="In Process"/>
    <n v="2"/>
    <n v="5"/>
    <x v="2"/>
    <x v="1"/>
    <n v="214"/>
    <s v="S10_1949"/>
    <s v="Euro Shopping Channel"/>
    <s v="(91) 555 94 44"/>
    <s v="C/ Moralzarzal, 86"/>
    <m/>
    <s v="Madrid"/>
    <m/>
    <n v="28034"/>
    <x v="7"/>
    <s v="EMEA"/>
    <s v="Freyre"/>
    <s v="Diego"/>
    <s v="Large"/>
  </r>
  <r>
    <n v="10107"/>
    <n v="39"/>
    <n v="99.91"/>
    <n v="5"/>
    <x v="53"/>
    <d v="2003-02-24T00:00:00"/>
    <s v="Shipped"/>
    <n v="1"/>
    <n v="2"/>
    <x v="0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29"/>
    <n v="96.34"/>
    <n v="3"/>
    <x v="54"/>
    <d v="2003-04-29T00:00:00"/>
    <s v="Shipped"/>
    <n v="2"/>
    <n v="4"/>
    <x v="0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27"/>
    <n v="100"/>
    <n v="5"/>
    <x v="55"/>
    <d v="2003-07-01T00:00:00"/>
    <s v="Shipped"/>
    <n v="3"/>
    <n v="7"/>
    <x v="0"/>
    <x v="0"/>
    <n v="118"/>
    <s v="S10_2016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37"/>
    <n v="100"/>
    <n v="9"/>
    <x v="56"/>
    <d v="2003-08-25T00:00:00"/>
    <s v="Shipped"/>
    <n v="3"/>
    <n v="8"/>
    <x v="0"/>
    <x v="0"/>
    <n v="118"/>
    <s v="S10_2016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37"/>
    <n v="100"/>
    <n v="17"/>
    <x v="57"/>
    <d v="2003-10-10T00:00:00"/>
    <s v="Shipped"/>
    <n v="4"/>
    <n v="10"/>
    <x v="0"/>
    <x v="0"/>
    <n v="118"/>
    <s v="S10_2016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27"/>
    <n v="100"/>
    <n v="4"/>
    <x v="58"/>
    <d v="2003-10-28T00:00:00"/>
    <s v="Shipped"/>
    <n v="4"/>
    <n v="10"/>
    <x v="0"/>
    <x v="0"/>
    <n v="118"/>
    <s v="S10_2016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2"/>
    <n v="100"/>
    <n v="12"/>
    <x v="59"/>
    <d v="2003-11-11T00:00:00"/>
    <s v="Shipped"/>
    <n v="4"/>
    <n v="11"/>
    <x v="0"/>
    <x v="0"/>
    <n v="118"/>
    <s v="S10_2016"/>
    <s v="Daedalus Designs Imports"/>
    <s v="20.16.1555"/>
    <s v="184, chausse de Tournai"/>
    <m/>
    <s v="Lille"/>
    <m/>
    <n v="59000"/>
    <x v="1"/>
    <s v="EMEA"/>
    <s v="Rance"/>
    <s v="Martine"/>
    <s v="Medium"/>
  </r>
  <r>
    <n v="10188"/>
    <n v="38"/>
    <n v="96.34"/>
    <n v="4"/>
    <x v="60"/>
    <d v="2003-11-18T00:00:00"/>
    <s v="Shipped"/>
    <n v="4"/>
    <n v="11"/>
    <x v="0"/>
    <x v="0"/>
    <n v="118"/>
    <s v="S10_2016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4"/>
    <n v="100"/>
    <n v="5"/>
    <x v="61"/>
    <d v="2003-12-01T00:00:00"/>
    <s v="Shipped"/>
    <n v="4"/>
    <n v="12"/>
    <x v="0"/>
    <x v="0"/>
    <n v="118"/>
    <s v="S10_2016"/>
    <s v="Mini Wheels Co."/>
    <n v="6505555787"/>
    <s v="5557 North Pendale Street"/>
    <m/>
    <s v="San Francisco"/>
    <s v="CA"/>
    <m/>
    <x v="0"/>
    <s v="NA"/>
    <s v="Murphy"/>
    <s v="Julie"/>
    <s v="Medium"/>
  </r>
  <r>
    <n v="10210"/>
    <n v="23"/>
    <n v="100"/>
    <n v="2"/>
    <x v="62"/>
    <d v="2004-01-12T00:00:00"/>
    <s v="Shipped"/>
    <n v="1"/>
    <n v="1"/>
    <x v="1"/>
    <x v="0"/>
    <n v="118"/>
    <s v="S10_2016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4"/>
    <x v="63"/>
    <d v="2004-02-20T00:00:00"/>
    <s v="Shipped"/>
    <n v="1"/>
    <n v="2"/>
    <x v="1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6"/>
    <n v="22"/>
    <n v="100"/>
    <n v="1"/>
    <x v="64"/>
    <d v="2004-04-03T00:00:00"/>
    <s v="Shipped"/>
    <n v="2"/>
    <n v="4"/>
    <x v="1"/>
    <x v="0"/>
    <n v="118"/>
    <s v="S10_2016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251"/>
    <n v="44"/>
    <n v="100"/>
    <n v="5"/>
    <x v="65"/>
    <d v="2004-05-18T00:00:00"/>
    <s v="Shipped"/>
    <n v="2"/>
    <n v="5"/>
    <x v="1"/>
    <x v="0"/>
    <n v="118"/>
    <s v="S10_2016"/>
    <s v="Tekni Collectables Inc."/>
    <n v="2015559350"/>
    <s v="7476 Moss Rd."/>
    <m/>
    <s v="Newark"/>
    <s v="NJ"/>
    <n v="94019"/>
    <x v="0"/>
    <s v="NA"/>
    <s v="Brown"/>
    <s v="William"/>
    <s v="Medium"/>
  </r>
  <r>
    <n v="10263"/>
    <n v="40"/>
    <n v="100"/>
    <n v="5"/>
    <x v="66"/>
    <d v="2004-06-28T00:00:00"/>
    <s v="Shipped"/>
    <n v="2"/>
    <n v="6"/>
    <x v="1"/>
    <x v="0"/>
    <n v="118"/>
    <s v="S10_2016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22"/>
    <n v="100"/>
    <n v="4"/>
    <x v="67"/>
    <d v="2004-07-23T00:00:00"/>
    <s v="Shipped"/>
    <n v="3"/>
    <n v="7"/>
    <x v="1"/>
    <x v="0"/>
    <n v="118"/>
    <s v="S10_2016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47"/>
    <n v="100"/>
    <n v="9"/>
    <x v="68"/>
    <d v="2004-08-27T00:00:00"/>
    <s v="Shipped"/>
    <n v="3"/>
    <n v="8"/>
    <x v="1"/>
    <x v="0"/>
    <n v="118"/>
    <s v="S10_2016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8"/>
    <n v="39"/>
    <n v="96.34"/>
    <n v="1"/>
    <x v="69"/>
    <d v="2004-09-27T00:00:00"/>
    <s v="Shipped"/>
    <n v="3"/>
    <n v="9"/>
    <x v="1"/>
    <x v="0"/>
    <n v="118"/>
    <s v="S10_2016"/>
    <s v="Atelier graphique"/>
    <s v="40.32.2555"/>
    <s v="54, rue Royale"/>
    <m/>
    <s v="Nantes"/>
    <m/>
    <n v="44000"/>
    <x v="1"/>
    <s v="EMEA"/>
    <s v="Schmitt"/>
    <s v="Carine"/>
    <s v="Medium"/>
  </r>
  <r>
    <n v="10308"/>
    <n v="34"/>
    <n v="100"/>
    <n v="2"/>
    <x v="70"/>
    <d v="2004-10-15T00:00:00"/>
    <s v="Shipped"/>
    <n v="4"/>
    <n v="10"/>
    <x v="1"/>
    <x v="0"/>
    <n v="118"/>
    <s v="S10_2016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45"/>
    <n v="100"/>
    <n v="4"/>
    <x v="71"/>
    <d v="2004-11-02T00:00:00"/>
    <s v="Shipped"/>
    <n v="4"/>
    <n v="11"/>
    <x v="1"/>
    <x v="0"/>
    <n v="118"/>
    <s v="S10_2016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20"/>
    <n v="100"/>
    <n v="2"/>
    <x v="72"/>
    <d v="2004-11-15T00:00:00"/>
    <s v="Shipped"/>
    <n v="4"/>
    <n v="11"/>
    <x v="1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40"/>
    <n v="68.92"/>
    <n v="4"/>
    <x v="73"/>
    <d v="2004-11-23T00:00:00"/>
    <s v="Shipped"/>
    <n v="4"/>
    <n v="11"/>
    <x v="1"/>
    <x v="0"/>
    <n v="118"/>
    <s v="S10_2016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1"/>
    <n v="26"/>
    <n v="51.15"/>
    <n v="8"/>
    <x v="74"/>
    <d v="2004-12-17T00:00:00"/>
    <s v="Shipped"/>
    <n v="4"/>
    <n v="12"/>
    <x v="1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4"/>
    <n v="39"/>
    <n v="100"/>
    <n v="5"/>
    <x v="75"/>
    <d v="2005-02-02T00:00:00"/>
    <s v="Shipped"/>
    <n v="1"/>
    <n v="2"/>
    <x v="2"/>
    <x v="0"/>
    <n v="118"/>
    <s v="S10_201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50"/>
    <n v="44.51"/>
    <n v="5"/>
    <x v="76"/>
    <d v="2005-03-03T00:00:00"/>
    <s v="Shipped"/>
    <n v="1"/>
    <n v="3"/>
    <x v="2"/>
    <x v="0"/>
    <n v="118"/>
    <s v="S10_2016"/>
    <s v="FunGiftIdeas.com"/>
    <n v="5085552555"/>
    <s v="1785 First Street"/>
    <m/>
    <s v="New Bedford"/>
    <s v="MA"/>
    <n v="50553"/>
    <x v="0"/>
    <s v="NA"/>
    <s v="Benitez"/>
    <s v="Violeta"/>
    <s v="Small"/>
  </r>
  <r>
    <n v="10402"/>
    <n v="45"/>
    <n v="100"/>
    <n v="1"/>
    <x v="77"/>
    <d v="2005-04-07T00:00:00"/>
    <s v="Shipped"/>
    <n v="2"/>
    <n v="4"/>
    <x v="2"/>
    <x v="0"/>
    <n v="118"/>
    <s v="S10_2016"/>
    <s v="Auto Canal Petit"/>
    <s v="(1) 47.55.6555"/>
    <s v="25, rue Lauriston"/>
    <m/>
    <s v="Paris"/>
    <m/>
    <n v="75016"/>
    <x v="1"/>
    <s v="EMEA"/>
    <s v="Perrier"/>
    <s v="Dominique"/>
    <s v="Medium"/>
  </r>
  <r>
    <n v="10417"/>
    <n v="45"/>
    <n v="100"/>
    <n v="5"/>
    <x v="78"/>
    <d v="2005-05-13T00:00:00"/>
    <s v="Disputed"/>
    <n v="2"/>
    <n v="5"/>
    <x v="2"/>
    <x v="0"/>
    <n v="118"/>
    <s v="S10_2016"/>
    <s v="Euro Shopping Channel"/>
    <s v="(91) 555 94 44"/>
    <s v="C/ Moralzarzal, 86"/>
    <m/>
    <s v="Madrid"/>
    <m/>
    <n v="28034"/>
    <x v="7"/>
    <s v="EMEA"/>
    <s v="Freyre"/>
    <s v="Diego"/>
    <s v="Medium"/>
  </r>
  <r>
    <n v="10107"/>
    <n v="27"/>
    <n v="100"/>
    <n v="4"/>
    <x v="79"/>
    <d v="2003-02-24T00:00:00"/>
    <s v="Shipped"/>
    <n v="1"/>
    <n v="2"/>
    <x v="0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46"/>
    <n v="100"/>
    <n v="2"/>
    <x v="80"/>
    <d v="2003-04-29T00:00:00"/>
    <s v="Shipped"/>
    <n v="2"/>
    <n v="4"/>
    <x v="0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134"/>
    <n v="31"/>
    <n v="100"/>
    <n v="4"/>
    <x v="81"/>
    <d v="2003-07-01T00:00:00"/>
    <s v="Shipped"/>
    <n v="3"/>
    <n v="7"/>
    <x v="0"/>
    <x v="0"/>
    <n v="193"/>
    <s v="S10_4698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145"/>
    <n v="33"/>
    <n v="100"/>
    <n v="8"/>
    <x v="82"/>
    <d v="2003-08-25T00:00:00"/>
    <s v="Shipped"/>
    <n v="3"/>
    <n v="8"/>
    <x v="0"/>
    <x v="0"/>
    <n v="193"/>
    <s v="S10_4698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22"/>
    <n v="100"/>
    <n v="16"/>
    <x v="83"/>
    <d v="2003-10-10T00:00:00"/>
    <s v="Shipped"/>
    <n v="4"/>
    <n v="10"/>
    <x v="0"/>
    <x v="0"/>
    <n v="193"/>
    <s v="S10_4698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20"/>
    <n v="100"/>
    <n v="3"/>
    <x v="84"/>
    <d v="2003-10-28T00:00:00"/>
    <s v="Shipped"/>
    <n v="4"/>
    <n v="10"/>
    <x v="0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1"/>
    <n v="100"/>
    <n v="11"/>
    <x v="85"/>
    <d v="2003-11-11T00:00:00"/>
    <s v="Shipped"/>
    <n v="4"/>
    <n v="11"/>
    <x v="0"/>
    <x v="0"/>
    <n v="193"/>
    <s v="S10_4698"/>
    <s v="Daedalus Designs Imports"/>
    <s v="20.16.1555"/>
    <s v="184, chausse de Tournai"/>
    <m/>
    <s v="Lille"/>
    <m/>
    <n v="59000"/>
    <x v="1"/>
    <s v="EMEA"/>
    <s v="Rance"/>
    <s v="Martine"/>
    <s v="Large"/>
  </r>
  <r>
    <n v="10188"/>
    <n v="45"/>
    <n v="100"/>
    <n v="3"/>
    <x v="86"/>
    <d v="2003-11-18T00:00:00"/>
    <s v="Shipped"/>
    <n v="4"/>
    <n v="11"/>
    <x v="0"/>
    <x v="0"/>
    <n v="193"/>
    <s v="S10_4698"/>
    <s v="Herkku Gifts"/>
    <s v="+47 2267 3215"/>
    <s v="Drammen 121, PR 744 Sentrum"/>
    <m/>
    <s v="Bergen"/>
    <m/>
    <s v="N 5804"/>
    <x v="2"/>
    <s v="EMEA"/>
    <s v="Oeztan"/>
    <s v="Veysel"/>
    <s v="Large"/>
  </r>
  <r>
    <n v="10201"/>
    <n v="49"/>
    <n v="100"/>
    <n v="4"/>
    <x v="87"/>
    <d v="2003-12-01T00:00:00"/>
    <s v="Shipped"/>
    <n v="4"/>
    <n v="12"/>
    <x v="0"/>
    <x v="0"/>
    <n v="193"/>
    <s v="S10_4698"/>
    <s v="Mini Wheels Co."/>
    <n v="6505555787"/>
    <s v="5557 North Pendale Street"/>
    <m/>
    <s v="San Francisco"/>
    <s v="CA"/>
    <m/>
    <x v="0"/>
    <s v="NA"/>
    <s v="Murphy"/>
    <s v="Julie"/>
    <s v="Large"/>
  </r>
  <r>
    <n v="10210"/>
    <n v="34"/>
    <n v="100"/>
    <n v="1"/>
    <x v="88"/>
    <d v="2004-01-12T00:00:00"/>
    <s v="Shipped"/>
    <n v="1"/>
    <n v="1"/>
    <x v="1"/>
    <x v="0"/>
    <n v="193"/>
    <s v="S10_4698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9"/>
    <n v="100"/>
    <n v="3"/>
    <x v="89"/>
    <d v="2004-02-20T00:00:00"/>
    <s v="Shipped"/>
    <n v="1"/>
    <n v="2"/>
    <x v="1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s v="Large"/>
  </r>
  <r>
    <n v="10237"/>
    <n v="39"/>
    <n v="100"/>
    <n v="9"/>
    <x v="90"/>
    <d v="2004-04-05T00:00:00"/>
    <s v="Shipped"/>
    <n v="2"/>
    <n v="4"/>
    <x v="1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s v="Large"/>
  </r>
  <r>
    <n v="10251"/>
    <n v="43"/>
    <n v="100"/>
    <n v="4"/>
    <x v="91"/>
    <d v="2004-05-18T00:00:00"/>
    <s v="Shipped"/>
    <n v="2"/>
    <n v="5"/>
    <x v="1"/>
    <x v="0"/>
    <n v="193"/>
    <s v="S10_4698"/>
    <s v="Tekni Collectables Inc."/>
    <n v="2015559350"/>
    <s v="7476 Moss Rd."/>
    <m/>
    <s v="Newark"/>
    <s v="NJ"/>
    <n v="94019"/>
    <x v="0"/>
    <s v="NA"/>
    <s v="Brown"/>
    <s v="William"/>
    <s v="Large"/>
  </r>
  <r>
    <n v="10263"/>
    <n v="41"/>
    <n v="100"/>
    <n v="4"/>
    <x v="92"/>
    <d v="2004-06-28T00:00:00"/>
    <s v="Shipped"/>
    <n v="2"/>
    <n v="6"/>
    <x v="1"/>
    <x v="0"/>
    <n v="193"/>
    <s v="S10_4698"/>
    <s v="Gift Depot Inc."/>
    <n v="2035552570"/>
    <s v="25593 South Bay Ln."/>
    <m/>
    <s v="Bridgewater"/>
    <s v="CT"/>
    <n v="97562"/>
    <x v="0"/>
    <s v="NA"/>
    <s v="King"/>
    <s v="Julie"/>
    <s v="Large"/>
  </r>
  <r>
    <n v="10275"/>
    <n v="36"/>
    <n v="100"/>
    <n v="3"/>
    <x v="93"/>
    <d v="2004-07-23T00:00:00"/>
    <s v="Shipped"/>
    <n v="3"/>
    <n v="7"/>
    <x v="1"/>
    <x v="0"/>
    <n v="193"/>
    <s v="S10_4698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27"/>
    <n v="100"/>
    <n v="8"/>
    <x v="94"/>
    <d v="2004-08-27T00:00:00"/>
    <s v="Shipped"/>
    <n v="3"/>
    <n v="8"/>
    <x v="1"/>
    <x v="0"/>
    <n v="193"/>
    <s v="S10_469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9"/>
    <n v="100"/>
    <n v="11"/>
    <x v="95"/>
    <d v="2004-09-30T00:00:00"/>
    <s v="Shipped"/>
    <n v="3"/>
    <n v="9"/>
    <x v="1"/>
    <x v="0"/>
    <n v="193"/>
    <s v="S10_4698"/>
    <s v="Toys of Finland, Co."/>
    <s v="90-224 8555"/>
    <s v="Keskuskatu 45"/>
    <m/>
    <s v="Helsinki"/>
    <m/>
    <n v="21240"/>
    <x v="4"/>
    <s v="EMEA"/>
    <s v="Karttunen"/>
    <s v="Matti"/>
    <s v="Medium"/>
  </r>
  <r>
    <n v="10308"/>
    <n v="20"/>
    <n v="100"/>
    <n v="1"/>
    <x v="96"/>
    <d v="2004-10-15T00:00:00"/>
    <s v="Shipped"/>
    <n v="4"/>
    <n v="10"/>
    <x v="1"/>
    <x v="0"/>
    <n v="193"/>
    <s v="S10_4698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37"/>
    <n v="100"/>
    <n v="3"/>
    <x v="97"/>
    <d v="2004-11-02T00:00:00"/>
    <s v="Shipped"/>
    <n v="4"/>
    <n v="11"/>
    <x v="1"/>
    <x v="0"/>
    <n v="193"/>
    <s v="S10_4698"/>
    <s v="Diecast Classics Inc."/>
    <n v="2155551555"/>
    <s v="7586 Pompton St."/>
    <m/>
    <s v="Allentown"/>
    <s v="PA"/>
    <n v="70267"/>
    <x v="0"/>
    <s v="NA"/>
    <s v="Yu"/>
    <s v="Kyung"/>
    <s v="Large"/>
  </r>
  <r>
    <n v="10329"/>
    <n v="26"/>
    <n v="100"/>
    <n v="3"/>
    <x v="98"/>
    <d v="2004-11-15T00:00:00"/>
    <s v="Shipped"/>
    <n v="4"/>
    <n v="11"/>
    <x v="1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39"/>
    <n v="76.67"/>
    <n v="3"/>
    <x v="99"/>
    <d v="2004-11-23T00:00:00"/>
    <s v="Shipped"/>
    <n v="4"/>
    <n v="11"/>
    <x v="1"/>
    <x v="0"/>
    <n v="193"/>
    <s v="S10_469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22"/>
    <n v="100"/>
    <n v="4"/>
    <x v="100"/>
    <d v="2005-01-05T00:00:00"/>
    <s v="Shipped"/>
    <n v="1"/>
    <n v="1"/>
    <x v="2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s v="Medium"/>
  </r>
  <r>
    <n v="10374"/>
    <n v="22"/>
    <n v="100"/>
    <n v="1"/>
    <x v="101"/>
    <d v="2005-02-02T00:00:00"/>
    <s v="Shipped"/>
    <n v="1"/>
    <n v="2"/>
    <x v="2"/>
    <x v="0"/>
    <n v="193"/>
    <s v="S10_4698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8"/>
    <n v="21"/>
    <n v="86.77"/>
    <n v="7"/>
    <x v="102"/>
    <d v="2005-03-03T00:00:00"/>
    <s v="Shipped"/>
    <n v="1"/>
    <n v="3"/>
    <x v="2"/>
    <x v="0"/>
    <n v="193"/>
    <s v="S10_4698"/>
    <s v="FunGiftIdeas.com"/>
    <n v="5085552555"/>
    <s v="1785 First Street"/>
    <m/>
    <s v="New Bedford"/>
    <s v="MA"/>
    <n v="50553"/>
    <x v="0"/>
    <s v="NA"/>
    <s v="Benitez"/>
    <s v="Violeta"/>
    <s v="Small"/>
  </r>
  <r>
    <n v="10403"/>
    <n v="66"/>
    <n v="100"/>
    <n v="9"/>
    <x v="103"/>
    <d v="2005-04-08T00:00:00"/>
    <s v="Shipped"/>
    <n v="2"/>
    <n v="4"/>
    <x v="2"/>
    <x v="0"/>
    <n v="193"/>
    <s v="S10_4698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417"/>
    <n v="56"/>
    <n v="100"/>
    <n v="4"/>
    <x v="104"/>
    <d v="2005-05-13T00:00:00"/>
    <s v="Disputed"/>
    <n v="2"/>
    <n v="5"/>
    <x v="2"/>
    <x v="0"/>
    <n v="193"/>
    <s v="S10_4698"/>
    <s v="Euro Shopping Channel"/>
    <s v="(91) 555 94 44"/>
    <s v="C/ Moralzarzal, 86"/>
    <m/>
    <s v="Madrid"/>
    <m/>
    <n v="28034"/>
    <x v="7"/>
    <s v="EMEA"/>
    <s v="Freyre"/>
    <s v="Diego"/>
    <s v="Large"/>
  </r>
  <r>
    <n v="10105"/>
    <n v="50"/>
    <n v="100"/>
    <n v="2"/>
    <x v="105"/>
    <d v="2003-02-11T00:00:00"/>
    <s v="Shipped"/>
    <n v="1"/>
    <n v="2"/>
    <x v="0"/>
    <x v="1"/>
    <n v="136"/>
    <s v="S10_4757"/>
    <s v="Danish Wholesale Imports"/>
    <s v="31 12 3555"/>
    <s v="Vinb'ltet 34"/>
    <m/>
    <s v="Kobenhavn"/>
    <m/>
    <n v="1734"/>
    <x v="13"/>
    <s v="EMEA"/>
    <s v="Petersen"/>
    <s v="Jytte"/>
    <s v="Large"/>
  </r>
  <r>
    <n v="10119"/>
    <n v="46"/>
    <n v="100"/>
    <n v="11"/>
    <x v="106"/>
    <d v="2003-04-28T00:00:00"/>
    <s v="Shipped"/>
    <n v="2"/>
    <n v="4"/>
    <x v="0"/>
    <x v="1"/>
    <n v="136"/>
    <s v="S10_4757"/>
    <s v="Salzburg Collectables"/>
    <s v="6562-9555"/>
    <s v="Geislweg 14"/>
    <m/>
    <s v="Salzburg"/>
    <m/>
    <n v="5020"/>
    <x v="5"/>
    <s v="EMEA"/>
    <s v="Pipps"/>
    <s v="Georg"/>
    <s v="Medium"/>
  </r>
  <r>
    <n v="10129"/>
    <n v="33"/>
    <n v="100"/>
    <n v="2"/>
    <x v="107"/>
    <d v="2003-06-12T00:00:00"/>
    <s v="Shipped"/>
    <n v="2"/>
    <n v="6"/>
    <x v="0"/>
    <x v="1"/>
    <n v="136"/>
    <s v="S10_4757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49"/>
    <n v="100"/>
    <n v="15"/>
    <x v="108"/>
    <d v="2003-08-10T00:00:00"/>
    <s v="Shipped"/>
    <n v="3"/>
    <n v="8"/>
    <x v="0"/>
    <x v="1"/>
    <n v="136"/>
    <s v="S10_4757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32"/>
    <n v="100"/>
    <n v="13"/>
    <x v="109"/>
    <d v="2003-10-06T00:00:00"/>
    <s v="Shipped"/>
    <n v="4"/>
    <n v="10"/>
    <x v="0"/>
    <x v="1"/>
    <n v="136"/>
    <s v="S10_4757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4"/>
    <n v="100"/>
    <n v="9"/>
    <x v="110"/>
    <d v="2003-10-23T00:00:00"/>
    <s v="Cancelled"/>
    <n v="4"/>
    <n v="10"/>
    <x v="0"/>
    <x v="1"/>
    <n v="136"/>
    <s v="S10_4757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24"/>
    <n v="100"/>
    <n v="12"/>
    <x v="111"/>
    <d v="2003-11-08T00:00:00"/>
    <s v="Shipped"/>
    <n v="4"/>
    <n v="11"/>
    <x v="0"/>
    <x v="1"/>
    <n v="136"/>
    <s v="S10_4757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26"/>
    <n v="100"/>
    <n v="9"/>
    <x v="112"/>
    <d v="2003-11-14T00:00:00"/>
    <s v="Shipped"/>
    <n v="4"/>
    <n v="11"/>
    <x v="0"/>
    <x v="1"/>
    <n v="136"/>
    <s v="S10_4757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45"/>
    <n v="100"/>
    <n v="6"/>
    <x v="113"/>
    <d v="2003-11-26T00:00:00"/>
    <s v="Shipped"/>
    <n v="4"/>
    <n v="11"/>
    <x v="0"/>
    <x v="1"/>
    <n v="136"/>
    <s v="S10_4757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9"/>
    <n v="39"/>
    <n v="100"/>
    <n v="8"/>
    <x v="114"/>
    <d v="2004-01-09T00:00:00"/>
    <s v="Shipped"/>
    <n v="1"/>
    <n v="1"/>
    <x v="1"/>
    <x v="1"/>
    <n v="136"/>
    <s v="S10_4757"/>
    <s v="Men 'R' US Retailers, Ltd."/>
    <n v="2155554369"/>
    <s v="6047 Douglas Av."/>
    <m/>
    <s v="Los Angeles"/>
    <s v="CA"/>
    <m/>
    <x v="0"/>
    <s v="NA"/>
    <s v="Chandler"/>
    <s v="Michael"/>
    <s v="Medium"/>
  </r>
  <r>
    <n v="10222"/>
    <n v="49"/>
    <n v="100"/>
    <n v="12"/>
    <x v="115"/>
    <d v="2004-02-19T00:00:00"/>
    <s v="Shipped"/>
    <n v="1"/>
    <n v="2"/>
    <x v="1"/>
    <x v="1"/>
    <n v="136"/>
    <s v="S10_4757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0"/>
    <n v="100"/>
    <n v="3"/>
    <x v="116"/>
    <d v="2004-05-07T00:00:00"/>
    <s v="Cancelled"/>
    <n v="2"/>
    <n v="5"/>
    <x v="1"/>
    <x v="1"/>
    <n v="136"/>
    <s v="S10_4757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27"/>
    <n v="100"/>
    <n v="1"/>
    <x v="117"/>
    <d v="2004-06-17T00:00:00"/>
    <s v="Shipped"/>
    <n v="2"/>
    <n v="6"/>
    <x v="1"/>
    <x v="1"/>
    <n v="136"/>
    <s v="S10_4757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30"/>
    <n v="100"/>
    <n v="4"/>
    <x v="118"/>
    <d v="2004-07-21T00:00:00"/>
    <s v="Shipped"/>
    <n v="3"/>
    <n v="7"/>
    <x v="1"/>
    <x v="1"/>
    <n v="136"/>
    <s v="S10_4757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5"/>
    <n v="100"/>
    <n v="6"/>
    <x v="119"/>
    <d v="2004-08-20T00:00:00"/>
    <s v="Shipped"/>
    <n v="3"/>
    <n v="8"/>
    <x v="1"/>
    <x v="1"/>
    <n v="136"/>
    <s v="S10_475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5"/>
    <n v="24"/>
    <n v="100"/>
    <n v="1"/>
    <x v="120"/>
    <d v="2004-09-10T00:00:00"/>
    <s v="Shipped"/>
    <n v="3"/>
    <n v="9"/>
    <x v="1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s v="Medium"/>
  </r>
  <r>
    <n v="10307"/>
    <n v="22"/>
    <n v="100"/>
    <n v="9"/>
    <x v="121"/>
    <d v="2004-10-14T00:00:00"/>
    <s v="Shipped"/>
    <n v="4"/>
    <n v="10"/>
    <x v="1"/>
    <x v="1"/>
    <n v="136"/>
    <s v="S10_475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3"/>
    <n v="100"/>
    <n v="17"/>
    <x v="122"/>
    <d v="2004-11-01T00:00:00"/>
    <s v="Shipped"/>
    <n v="4"/>
    <n v="11"/>
    <x v="1"/>
    <x v="1"/>
    <n v="136"/>
    <s v="S10_4757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5"/>
    <n v="47"/>
    <n v="64.930000000000007"/>
    <n v="6"/>
    <x v="123"/>
    <d v="2004-11-05T00:00:00"/>
    <s v="Shipped"/>
    <n v="4"/>
    <n v="11"/>
    <x v="1"/>
    <x v="1"/>
    <n v="136"/>
    <s v="S10_4757"/>
    <s v="Baane Mini Imports"/>
    <s v="07-98 9555"/>
    <s v="Erling Skakkes gate 78"/>
    <m/>
    <s v="Stavern"/>
    <m/>
    <n v="4110"/>
    <x v="2"/>
    <s v="EMEA"/>
    <s v="Bergulfsen"/>
    <s v="Jonas"/>
    <s v="Medium"/>
  </r>
  <r>
    <n v="10337"/>
    <n v="25"/>
    <n v="48.05"/>
    <n v="8"/>
    <x v="124"/>
    <d v="2004-11-21T00:00:00"/>
    <s v="Shipped"/>
    <n v="4"/>
    <n v="11"/>
    <x v="1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6"/>
    <n v="75.47"/>
    <n v="5"/>
    <x v="125"/>
    <d v="2004-12-02T00:00:00"/>
    <s v="Shipped"/>
    <n v="4"/>
    <n v="12"/>
    <x v="1"/>
    <x v="1"/>
    <n v="136"/>
    <s v="S10_4757"/>
    <s v="Euro Shopping Channel"/>
    <s v="(91) 555 94 44"/>
    <s v="C/ Moralzarzal, 86"/>
    <m/>
    <s v="Madrid"/>
    <m/>
    <n v="28034"/>
    <x v="7"/>
    <s v="EMEA"/>
    <s v="Freyre"/>
    <s v="Diego"/>
    <s v="Small"/>
  </r>
  <r>
    <n v="10359"/>
    <n v="48"/>
    <n v="54.68"/>
    <n v="6"/>
    <x v="126"/>
    <d v="2004-12-15T00:00:00"/>
    <s v="Shipped"/>
    <n v="4"/>
    <n v="12"/>
    <x v="1"/>
    <x v="1"/>
    <n v="136"/>
    <s v="S10_4757"/>
    <s v="Reims Collectables"/>
    <s v="26.47.1555"/>
    <s v="59 rue de l'Abbaye"/>
    <m/>
    <s v="Reims"/>
    <m/>
    <n v="51100"/>
    <x v="1"/>
    <s v="EMEA"/>
    <s v="Henriot"/>
    <s v="Paul"/>
    <s v="Small"/>
  </r>
  <r>
    <n v="10373"/>
    <n v="39"/>
    <n v="100"/>
    <n v="3"/>
    <x v="127"/>
    <d v="2005-01-31T00:00:00"/>
    <s v="Shipped"/>
    <n v="1"/>
    <n v="1"/>
    <x v="2"/>
    <x v="1"/>
    <n v="136"/>
    <s v="S10_4757"/>
    <s v="Oulu Toy Supplies, Inc."/>
    <s v="981-443655"/>
    <s v="Torikatu 38"/>
    <m/>
    <s v="Oulu"/>
    <m/>
    <n v="90110"/>
    <x v="4"/>
    <s v="EMEA"/>
    <s v="Koskitalo"/>
    <s v="Pirkko"/>
    <s v="Medium"/>
  </r>
  <r>
    <n v="10384"/>
    <n v="34"/>
    <n v="100"/>
    <n v="4"/>
    <x v="128"/>
    <d v="2005-02-23T00:00:00"/>
    <s v="Shipped"/>
    <n v="1"/>
    <n v="2"/>
    <x v="2"/>
    <x v="1"/>
    <n v="136"/>
    <s v="S10_4757"/>
    <s v="Corporate Gift Ideas Co."/>
    <n v="6505551386"/>
    <s v="7734 Strong St."/>
    <m/>
    <s v="San Francisco"/>
    <s v="CA"/>
    <m/>
    <x v="0"/>
    <s v="NA"/>
    <s v="Brown"/>
    <s v="Julie"/>
    <s v="Medium"/>
  </r>
  <r>
    <n v="10395"/>
    <n v="32"/>
    <n v="100"/>
    <n v="2"/>
    <x v="129"/>
    <d v="2005-03-17T00:00:00"/>
    <s v="Shipped"/>
    <n v="1"/>
    <n v="3"/>
    <x v="2"/>
    <x v="1"/>
    <n v="136"/>
    <s v="S10_4757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400"/>
    <n v="64"/>
    <n v="100"/>
    <n v="9"/>
    <x v="130"/>
    <d v="2005-04-01T00:00:00"/>
    <s v="Shipped"/>
    <n v="2"/>
    <n v="4"/>
    <x v="2"/>
    <x v="1"/>
    <n v="136"/>
    <s v="S10_4757"/>
    <s v="The Sharp Gifts Warehouse"/>
    <n v="4085553659"/>
    <s v="3086 Ingle Ln."/>
    <m/>
    <s v="San Jose"/>
    <s v="CA"/>
    <n v="94217"/>
    <x v="0"/>
    <s v="NA"/>
    <s v="Frick"/>
    <s v="Sue"/>
    <s v="Large"/>
  </r>
  <r>
    <n v="10414"/>
    <n v="19"/>
    <n v="100"/>
    <n v="3"/>
    <x v="131"/>
    <d v="2005-05-06T00:00:00"/>
    <s v="On Hold"/>
    <n v="2"/>
    <n v="5"/>
    <x v="2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4"/>
    <x v="132"/>
    <d v="2003-01-29T00:00:00"/>
    <s v="Shipped"/>
    <n v="1"/>
    <n v="1"/>
    <x v="0"/>
    <x v="1"/>
    <n v="147"/>
    <s v="S10_4962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31"/>
    <n v="100"/>
    <n v="8"/>
    <x v="133"/>
    <d v="2003-04-01T00:00:00"/>
    <s v="Shipped"/>
    <n v="2"/>
    <n v="4"/>
    <x v="0"/>
    <x v="1"/>
    <n v="147"/>
    <s v="S10_496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22"/>
    <n v="100"/>
    <n v="4"/>
    <x v="134"/>
    <d v="2003-05-28T00:00:00"/>
    <s v="Shipped"/>
    <n v="2"/>
    <n v="5"/>
    <x v="0"/>
    <x v="1"/>
    <n v="147"/>
    <s v="S10_4962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4"/>
    <x v="135"/>
    <d v="2003-07-24T00:00:00"/>
    <s v="Shipped"/>
    <n v="3"/>
    <n v="7"/>
    <x v="0"/>
    <x v="1"/>
    <n v="147"/>
    <s v="S10_4962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1"/>
    <x v="136"/>
    <d v="2003-09-19T00:00:00"/>
    <s v="Shipped"/>
    <n v="3"/>
    <n v="9"/>
    <x v="0"/>
    <x v="1"/>
    <n v="147"/>
    <s v="S10_496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21"/>
    <n v="100"/>
    <n v="2"/>
    <x v="137"/>
    <d v="2003-10-21T00:00:00"/>
    <s v="Resolved"/>
    <n v="4"/>
    <n v="10"/>
    <x v="0"/>
    <x v="1"/>
    <n v="147"/>
    <s v="S10_4962"/>
    <s v="Mini Auto Werke"/>
    <s v="7675-3555"/>
    <s v="Kirchgasse 6"/>
    <m/>
    <s v="Graz"/>
    <m/>
    <n v="8010"/>
    <x v="5"/>
    <s v="EMEA"/>
    <s v="Mendel"/>
    <s v="Roland"/>
    <s v="Medium"/>
  </r>
  <r>
    <n v="10175"/>
    <n v="33"/>
    <n v="100"/>
    <n v="9"/>
    <x v="138"/>
    <d v="2003-11-06T00:00:00"/>
    <s v="Shipped"/>
    <n v="4"/>
    <n v="11"/>
    <x v="0"/>
    <x v="1"/>
    <n v="147"/>
    <s v="S10_4962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8"/>
    <n v="100"/>
    <n v="1"/>
    <x v="139"/>
    <d v="2003-11-13T00:00:00"/>
    <s v="Shipped"/>
    <n v="4"/>
    <n v="11"/>
    <x v="0"/>
    <x v="1"/>
    <n v="147"/>
    <s v="S10_4962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26"/>
    <n v="100"/>
    <n v="4"/>
    <x v="140"/>
    <d v="2003-11-25T00:00:00"/>
    <s v="Shipped"/>
    <n v="4"/>
    <n v="11"/>
    <x v="0"/>
    <x v="1"/>
    <n v="147"/>
    <s v="S10_4962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31"/>
    <n v="100"/>
    <n v="15"/>
    <x v="141"/>
    <d v="2003-12-09T00:00:00"/>
    <s v="Shipped"/>
    <n v="4"/>
    <n v="12"/>
    <x v="0"/>
    <x v="1"/>
    <n v="147"/>
    <s v="S10_4962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48"/>
    <n v="100"/>
    <n v="4"/>
    <x v="142"/>
    <d v="2004-02-04T00:00:00"/>
    <s v="Shipped"/>
    <n v="1"/>
    <n v="2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s v="Large"/>
  </r>
  <r>
    <n v="10229"/>
    <n v="50"/>
    <n v="100"/>
    <n v="9"/>
    <x v="143"/>
    <d v="2004-03-11T00:00:00"/>
    <s v="Shipped"/>
    <n v="1"/>
    <n v="3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28"/>
    <n v="100"/>
    <n v="2"/>
    <x v="144"/>
    <d v="2004-05-04T00:00:00"/>
    <s v="Shipped"/>
    <n v="2"/>
    <n v="5"/>
    <x v="1"/>
    <x v="1"/>
    <n v="147"/>
    <s v="S10_4962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9"/>
    <n v="26"/>
    <n v="100"/>
    <n v="12"/>
    <x v="145"/>
    <d v="2004-06-15T00:00:00"/>
    <s v="Shipped"/>
    <n v="2"/>
    <n v="6"/>
    <x v="1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100"/>
    <n v="2"/>
    <x v="146"/>
    <d v="2004-07-19T00:00:00"/>
    <s v="Shipped"/>
    <n v="3"/>
    <n v="7"/>
    <x v="1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44"/>
    <n v="100"/>
    <n v="9"/>
    <x v="147"/>
    <d v="2004-08-19T00:00:00"/>
    <s v="Shipped"/>
    <n v="3"/>
    <n v="8"/>
    <x v="1"/>
    <x v="1"/>
    <n v="147"/>
    <s v="S10_4962"/>
    <s v="Diecast Classics Inc."/>
    <n v="2155551555"/>
    <s v="7586 Pompton St."/>
    <m/>
    <s v="Allentown"/>
    <s v="PA"/>
    <n v="70267"/>
    <x v="0"/>
    <s v="NA"/>
    <s v="Yu"/>
    <s v="Kyung"/>
    <s v="Large"/>
  </r>
  <r>
    <n v="10291"/>
    <n v="30"/>
    <n v="100"/>
    <n v="4"/>
    <x v="148"/>
    <d v="2004-09-08T00:00:00"/>
    <s v="Shipped"/>
    <n v="3"/>
    <n v="9"/>
    <x v="1"/>
    <x v="1"/>
    <n v="147"/>
    <s v="S10_4962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38"/>
    <n v="100"/>
    <n v="13"/>
    <x v="149"/>
    <d v="2004-10-13T00:00:00"/>
    <s v="Shipped"/>
    <n v="4"/>
    <n v="10"/>
    <x v="1"/>
    <x v="1"/>
    <n v="147"/>
    <s v="S10_496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40"/>
    <n v="100"/>
    <n v="7"/>
    <x v="150"/>
    <d v="2004-10-22T00:00:00"/>
    <s v="Shipped"/>
    <n v="4"/>
    <n v="10"/>
    <x v="1"/>
    <x v="1"/>
    <n v="147"/>
    <s v="S10_4962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2"/>
    <n v="46"/>
    <n v="61.99"/>
    <n v="8"/>
    <x v="151"/>
    <d v="2004-11-04T00:00:00"/>
    <s v="Shipped"/>
    <n v="4"/>
    <n v="11"/>
    <x v="1"/>
    <x v="1"/>
    <n v="147"/>
    <s v="S10_4962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4"/>
    <n v="26"/>
    <n v="100"/>
    <n v="2"/>
    <x v="135"/>
    <d v="2004-11-19T00:00:00"/>
    <s v="On Hold"/>
    <n v="4"/>
    <n v="11"/>
    <x v="1"/>
    <x v="1"/>
    <n v="147"/>
    <s v="S10_4962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7"/>
    <n v="27"/>
    <n v="100"/>
    <n v="2"/>
    <x v="152"/>
    <d v="2004-11-29T00:00:00"/>
    <s v="Shipped"/>
    <n v="4"/>
    <n v="11"/>
    <x v="1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3"/>
    <n v="100"/>
    <n v="9"/>
    <x v="153"/>
    <d v="2004-12-10T00:00:00"/>
    <s v="Shipped"/>
    <n v="4"/>
    <n v="12"/>
    <x v="1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35"/>
    <n v="65.63"/>
    <n v="4"/>
    <x v="154"/>
    <d v="2005-01-20T00:00:00"/>
    <s v="Shipped"/>
    <n v="1"/>
    <n v="1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7"/>
    <n v="100"/>
    <n v="6"/>
    <x v="155"/>
    <d v="2005-02-17T00:00:00"/>
    <s v="Shipped"/>
    <n v="1"/>
    <n v="2"/>
    <x v="2"/>
    <x v="1"/>
    <n v="147"/>
    <s v="S10_4962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37"/>
    <n v="46.9"/>
    <n v="7"/>
    <x v="156"/>
    <d v="2005-03-09T00:00:00"/>
    <s v="Shipped"/>
    <n v="1"/>
    <n v="3"/>
    <x v="2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2"/>
    <x v="157"/>
    <d v="2005-05-01T00:00:00"/>
    <s v="Shipped"/>
    <n v="2"/>
    <n v="5"/>
    <x v="2"/>
    <x v="1"/>
    <n v="147"/>
    <s v="S10_4962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2"/>
    <x v="158"/>
    <d v="2005-05-31T00:00:00"/>
    <s v="In Process"/>
    <n v="2"/>
    <n v="5"/>
    <x v="2"/>
    <x v="1"/>
    <n v="147"/>
    <s v="S10_4962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3"/>
    <n v="100"/>
    <n v="6"/>
    <x v="159"/>
    <d v="2003-03-03T00:00:00"/>
    <s v="Shipped"/>
    <n v="1"/>
    <n v="3"/>
    <x v="0"/>
    <x v="1"/>
    <n v="194"/>
    <s v="S12_1099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2"/>
    <n v="100"/>
    <n v="10"/>
    <x v="160"/>
    <d v="2003-05-08T00:00:00"/>
    <s v="Shipped"/>
    <n v="2"/>
    <n v="5"/>
    <x v="0"/>
    <x v="1"/>
    <n v="194"/>
    <s v="S12_1099"/>
    <s v="Marseille Mini Autos"/>
    <s v="91.24.4555"/>
    <s v="12, rue des Bouchers"/>
    <m/>
    <s v="Marseille"/>
    <m/>
    <n v="13008"/>
    <x v="1"/>
    <s v="EMEA"/>
    <s v="Lebihan"/>
    <s v="Laurence"/>
    <s v="Large"/>
  </r>
  <r>
    <n v="10135"/>
    <n v="42"/>
    <n v="100"/>
    <n v="7"/>
    <x v="161"/>
    <d v="2003-07-02T00:00:00"/>
    <s v="Shipped"/>
    <n v="3"/>
    <n v="7"/>
    <x v="0"/>
    <x v="1"/>
    <n v="194"/>
    <s v="S12_109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47"/>
    <n v="48"/>
    <n v="100"/>
    <n v="7"/>
    <x v="162"/>
    <d v="2003-09-05T00:00:00"/>
    <s v="Shipped"/>
    <n v="3"/>
    <n v="9"/>
    <x v="0"/>
    <x v="1"/>
    <n v="194"/>
    <s v="S12_1099"/>
    <s v="Collectables For Less Inc."/>
    <n v="6175558555"/>
    <s v="7825 Douglas Av."/>
    <m/>
    <s v="Brickhaven"/>
    <s v="MA"/>
    <n v="58339"/>
    <x v="0"/>
    <s v="NA"/>
    <s v="Nelson"/>
    <s v="Allen"/>
    <s v="Large"/>
  </r>
  <r>
    <n v="10159"/>
    <n v="41"/>
    <n v="100"/>
    <n v="2"/>
    <x v="163"/>
    <d v="2003-10-10T00:00:00"/>
    <s v="Shipped"/>
    <n v="4"/>
    <n v="10"/>
    <x v="0"/>
    <x v="1"/>
    <n v="194"/>
    <s v="S12_1099"/>
    <s v="Corporate Gift Ideas Co."/>
    <n v="6505551386"/>
    <s v="7734 Strong St."/>
    <m/>
    <s v="San Francisco"/>
    <s v="CA"/>
    <m/>
    <x v="0"/>
    <s v="NA"/>
    <s v="Brown"/>
    <s v="Julie"/>
    <s v="Large"/>
  </r>
  <r>
    <n v="10169"/>
    <n v="30"/>
    <n v="100"/>
    <n v="2"/>
    <x v="164"/>
    <d v="2003-11-04T00:00:00"/>
    <s v="Shipped"/>
    <n v="4"/>
    <n v="11"/>
    <x v="0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7"/>
    <n v="100"/>
    <n v="14"/>
    <x v="165"/>
    <d v="2003-11-12T00:00:00"/>
    <s v="Shipped"/>
    <n v="4"/>
    <n v="11"/>
    <x v="0"/>
    <x v="1"/>
    <n v="194"/>
    <s v="S12_1099"/>
    <s v="Herkku Gifts"/>
    <s v="+47 2267 3215"/>
    <s v="Drammen 121, PR 744 Sentrum"/>
    <m/>
    <s v="Bergen"/>
    <m/>
    <s v="N 5804"/>
    <x v="2"/>
    <s v="EMEA"/>
    <s v="Oeztan"/>
    <s v="Veysel"/>
    <s v="Medium"/>
  </r>
  <r>
    <n v="10191"/>
    <n v="21"/>
    <n v="100"/>
    <n v="3"/>
    <x v="166"/>
    <d v="2003-11-20T00:00:00"/>
    <s v="Shipped"/>
    <n v="4"/>
    <n v="11"/>
    <x v="0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8"/>
    <x v="167"/>
    <d v="2003-12-02T00:00:00"/>
    <s v="Shipped"/>
    <n v="4"/>
    <n v="12"/>
    <x v="0"/>
    <x v="1"/>
    <n v="194"/>
    <s v="S12_1099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41"/>
    <n v="100"/>
    <n v="2"/>
    <x v="168"/>
    <d v="2004-01-15T00:00:00"/>
    <s v="Shipped"/>
    <n v="1"/>
    <n v="1"/>
    <x v="1"/>
    <x v="1"/>
    <n v="194"/>
    <s v="S12_1099"/>
    <s v="Auto Canal Petit"/>
    <s v="(1) 47.55.6555"/>
    <s v="25, rue Lauriston"/>
    <m/>
    <s v="Paris"/>
    <m/>
    <n v="75016"/>
    <x v="1"/>
    <s v="EMEA"/>
    <s v="Perrier"/>
    <s v="Dominique"/>
    <s v="Large"/>
  </r>
  <r>
    <n v="10225"/>
    <n v="27"/>
    <n v="100"/>
    <n v="9"/>
    <x v="169"/>
    <d v="2004-02-22T00:00:00"/>
    <s v="Shipped"/>
    <n v="1"/>
    <n v="2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28"/>
    <n v="100"/>
    <n v="3"/>
    <x v="170"/>
    <d v="2004-04-09T00:00:00"/>
    <s v="Shipped"/>
    <n v="2"/>
    <n v="4"/>
    <x v="1"/>
    <x v="1"/>
    <n v="194"/>
    <s v="S12_1099"/>
    <s v="Danish Wholesale Imports"/>
    <s v="31 12 3555"/>
    <s v="Vinb'ltet 34"/>
    <m/>
    <s v="Kobenhavn"/>
    <m/>
    <n v="1734"/>
    <x v="13"/>
    <s v="EMEA"/>
    <s v="Petersen"/>
    <s v="Jytte"/>
    <s v="Medium"/>
  </r>
  <r>
    <n v="10253"/>
    <n v="24"/>
    <n v="100"/>
    <n v="13"/>
    <x v="171"/>
    <d v="2004-06-01T00:00:00"/>
    <s v="Cancelled"/>
    <n v="2"/>
    <n v="6"/>
    <x v="1"/>
    <x v="1"/>
    <n v="194"/>
    <s v="S12_109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4"/>
    <n v="100"/>
    <n v="14"/>
    <x v="172"/>
    <d v="2004-07-06T00:00:00"/>
    <s v="Shipped"/>
    <n v="3"/>
    <n v="7"/>
    <x v="1"/>
    <x v="1"/>
    <n v="194"/>
    <s v="S12_1099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276"/>
    <n v="50"/>
    <n v="100"/>
    <n v="3"/>
    <x v="173"/>
    <d v="2004-08-02T00:00:00"/>
    <s v="Shipped"/>
    <n v="3"/>
    <n v="8"/>
    <x v="1"/>
    <x v="1"/>
    <n v="194"/>
    <s v="S12_1099"/>
    <s v="Online Mini Collectables"/>
    <n v="6175557555"/>
    <s v="7635 Spinnaker Dr."/>
    <m/>
    <s v="Brickhaven"/>
    <s v="MA"/>
    <n v="58339"/>
    <x v="0"/>
    <s v="NA"/>
    <s v="Barajas"/>
    <s v="Miguel"/>
    <s v="Large"/>
  </r>
  <r>
    <n v="10287"/>
    <n v="21"/>
    <n v="100"/>
    <n v="12"/>
    <x v="174"/>
    <d v="2004-08-30T00:00:00"/>
    <s v="Shipped"/>
    <n v="3"/>
    <n v="8"/>
    <x v="1"/>
    <x v="1"/>
    <n v="194"/>
    <s v="S12_1099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33"/>
    <n v="100"/>
    <n v="5"/>
    <x v="175"/>
    <d v="2003-10-04T00:00:00"/>
    <s v="Shipped"/>
    <n v="4"/>
    <n v="10"/>
    <x v="0"/>
    <x v="1"/>
    <n v="194"/>
    <s v="S12_1099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33"/>
    <n v="100"/>
    <n v="10"/>
    <x v="176"/>
    <d v="2004-10-16T00:00:00"/>
    <s v="Shipped"/>
    <n v="4"/>
    <n v="10"/>
    <x v="1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1"/>
    <n v="100"/>
    <n v="3"/>
    <x v="177"/>
    <d v="2004-11-03T00:00:00"/>
    <s v="Shipped"/>
    <n v="4"/>
    <n v="11"/>
    <x v="1"/>
    <x v="1"/>
    <n v="194"/>
    <s v="S12_109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29"/>
    <n v="41"/>
    <n v="71.47"/>
    <n v="5"/>
    <x v="178"/>
    <d v="2004-11-15T00:00:00"/>
    <s v="Shipped"/>
    <n v="4"/>
    <n v="11"/>
    <x v="1"/>
    <x v="1"/>
    <n v="194"/>
    <s v="S12_1099"/>
    <s v="Land of Toys Inc."/>
    <n v="2125557818"/>
    <s v="897 Long Airport Avenue"/>
    <m/>
    <s v="NYC"/>
    <s v="NY"/>
    <n v="10022"/>
    <x v="0"/>
    <s v="NA"/>
    <s v="Yu"/>
    <s v="Kwai"/>
    <s v="Small"/>
  </r>
  <r>
    <n v="10341"/>
    <n v="45"/>
    <n v="79.650000000000006"/>
    <n v="2"/>
    <x v="179"/>
    <d v="2004-11-24T00:00:00"/>
    <s v="Shipped"/>
    <n v="4"/>
    <n v="11"/>
    <x v="1"/>
    <x v="1"/>
    <n v="194"/>
    <s v="S12_1099"/>
    <s v="Salzburg Collectables"/>
    <s v="6562-9555"/>
    <s v="Geislweg 14"/>
    <m/>
    <s v="Salzburg"/>
    <m/>
    <n v="5020"/>
    <x v="5"/>
    <s v="EMEA"/>
    <s v="Pipps"/>
    <s v="Georg"/>
    <s v="Medium"/>
  </r>
  <r>
    <n v="10363"/>
    <n v="33"/>
    <n v="85.39"/>
    <n v="3"/>
    <x v="180"/>
    <d v="2005-01-06T00:00:00"/>
    <s v="Shipped"/>
    <n v="1"/>
    <n v="1"/>
    <x v="2"/>
    <x v="1"/>
    <n v="194"/>
    <s v="S12_1099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5"/>
    <n v="45"/>
    <n v="76"/>
    <n v="7"/>
    <x v="181"/>
    <d v="2005-02-03T00:00:00"/>
    <s v="Shipped"/>
    <n v="1"/>
    <n v="2"/>
    <x v="2"/>
    <x v="1"/>
    <n v="194"/>
    <s v="S12_109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9"/>
    <n v="26"/>
    <n v="99.04"/>
    <n v="4"/>
    <x v="182"/>
    <d v="2005-03-03T00:00:00"/>
    <s v="Shipped"/>
    <n v="1"/>
    <n v="3"/>
    <x v="2"/>
    <x v="1"/>
    <n v="194"/>
    <s v="S12_1099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12"/>
    <n v="100"/>
    <n v="13"/>
    <x v="183"/>
    <d v="2005-05-17T00:00:00"/>
    <s v="Shipped"/>
    <n v="2"/>
    <n v="5"/>
    <x v="2"/>
    <x v="1"/>
    <n v="194"/>
    <s v="S12_1099"/>
    <s v="Salzburg Collectables"/>
    <s v="6562-9555"/>
    <s v="Geislweg 14"/>
    <m/>
    <s v="Salzburg"/>
    <m/>
    <n v="5020"/>
    <x v="5"/>
    <s v="EMEA"/>
    <s v="Pipps"/>
    <s v="Georg"/>
    <s v="Small"/>
  </r>
  <r>
    <n v="10105"/>
    <n v="41"/>
    <n v="100"/>
    <n v="15"/>
    <x v="184"/>
    <d v="2003-02-11T00:00:00"/>
    <s v="Shipped"/>
    <n v="1"/>
    <n v="2"/>
    <x v="0"/>
    <x v="1"/>
    <n v="207"/>
    <s v="S12_1108"/>
    <s v="Danish Wholesale Imports"/>
    <s v="31 12 3555"/>
    <s v="Vinb'ltet 34"/>
    <m/>
    <s v="Kobenhavn"/>
    <m/>
    <n v="1734"/>
    <x v="13"/>
    <s v="EMEA"/>
    <s v="Petersen"/>
    <s v="Jytte"/>
    <s v="Large"/>
  </r>
  <r>
    <n v="10117"/>
    <n v="33"/>
    <n v="100"/>
    <n v="9"/>
    <x v="185"/>
    <d v="2003-04-16T00:00:00"/>
    <s v="Shipped"/>
    <n v="2"/>
    <n v="4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2"/>
    <x v="186"/>
    <d v="2003-06-03T00:00:00"/>
    <s v="Shipped"/>
    <n v="2"/>
    <n v="6"/>
    <x v="0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2"/>
    <x v="187"/>
    <d v="2003-08-08T00:00:00"/>
    <s v="Shipped"/>
    <n v="3"/>
    <n v="8"/>
    <x v="0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53"/>
    <n v="20"/>
    <n v="100"/>
    <n v="11"/>
    <x v="188"/>
    <d v="2003-09-28T00:00:00"/>
    <s v="Shipped"/>
    <n v="3"/>
    <n v="9"/>
    <x v="0"/>
    <x v="1"/>
    <n v="207"/>
    <s v="S12_1108"/>
    <s v="Euro Shopping Channel"/>
    <s v="(91) 555 94 44"/>
    <s v="C/ Moralzarzal, 86"/>
    <m/>
    <s v="Madrid"/>
    <m/>
    <n v="28034"/>
    <x v="7"/>
    <s v="EMEA"/>
    <s v="Freyre"/>
    <s v="Diego"/>
    <s v="Medium"/>
  </r>
  <r>
    <n v="10165"/>
    <n v="44"/>
    <n v="100"/>
    <n v="3"/>
    <x v="189"/>
    <d v="2003-10-22T00:00:00"/>
    <s v="Shipped"/>
    <n v="4"/>
    <n v="10"/>
    <x v="0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76"/>
    <n v="33"/>
    <n v="100"/>
    <n v="2"/>
    <x v="190"/>
    <d v="2003-11-06T00:00:00"/>
    <s v="Shipped"/>
    <n v="4"/>
    <n v="11"/>
    <x v="0"/>
    <x v="1"/>
    <n v="207"/>
    <s v="S12_1108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21"/>
    <n v="100"/>
    <n v="13"/>
    <x v="191"/>
    <d v="2003-11-14T00:00:00"/>
    <s v="Shipped"/>
    <n v="4"/>
    <n v="11"/>
    <x v="0"/>
    <x v="1"/>
    <n v="207"/>
    <s v="S12_1108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47"/>
    <n v="100"/>
    <n v="5"/>
    <x v="192"/>
    <d v="2003-11-26T00:00:00"/>
    <s v="Shipped"/>
    <n v="4"/>
    <n v="11"/>
    <x v="0"/>
    <x v="1"/>
    <n v="207"/>
    <s v="S12_1108"/>
    <s v="Super Scale Inc."/>
    <n v="2035559545"/>
    <s v="567 North Pendale Street"/>
    <m/>
    <s v="New Haven"/>
    <s v="CT"/>
    <n v="97823"/>
    <x v="0"/>
    <s v="NA"/>
    <s v="Murphy"/>
    <s v="Leslie"/>
    <s v="Large"/>
  </r>
  <r>
    <n v="10208"/>
    <n v="46"/>
    <n v="100"/>
    <n v="13"/>
    <x v="193"/>
    <d v="2004-01-02T00:00:00"/>
    <s v="Shipped"/>
    <n v="1"/>
    <n v="1"/>
    <x v="1"/>
    <x v="1"/>
    <n v="207"/>
    <s v="S12_1108"/>
    <s v="Saveley &amp; Henriot, Co."/>
    <s v="78.32.5555"/>
    <s v="2, rue du Commerce"/>
    <m/>
    <s v="Lyon"/>
    <m/>
    <n v="69004"/>
    <x v="1"/>
    <s v="EMEA"/>
    <s v="Saveley"/>
    <s v="Mary"/>
    <s v="Large"/>
  </r>
  <r>
    <n v="10220"/>
    <n v="32"/>
    <n v="100"/>
    <n v="2"/>
    <x v="194"/>
    <d v="2004-02-12T00:00:00"/>
    <s v="Shipped"/>
    <n v="1"/>
    <n v="2"/>
    <x v="1"/>
    <x v="1"/>
    <n v="207"/>
    <s v="S12_1108"/>
    <s v="Clover Collections, Co."/>
    <s v="+353 1862 1555"/>
    <s v="25 Maiden Lane"/>
    <s v="Floor No. 4"/>
    <s v="Dublin"/>
    <m/>
    <n v="2"/>
    <x v="18"/>
    <s v="EMEA"/>
    <s v="Cassidy"/>
    <s v="Dean"/>
    <s v="Large"/>
  </r>
  <r>
    <n v="10231"/>
    <n v="42"/>
    <n v="100"/>
    <n v="2"/>
    <x v="195"/>
    <d v="2004-03-19T00:00:00"/>
    <s v="Shipped"/>
    <n v="1"/>
    <n v="3"/>
    <x v="1"/>
    <x v="1"/>
    <n v="207"/>
    <s v="S12_1108"/>
    <s v="CAF Imports"/>
    <s v="+34 913 728 555"/>
    <s v="Merchants House, 27-30 Merchant's Quay"/>
    <m/>
    <s v="Madrid"/>
    <m/>
    <n v="28023"/>
    <x v="7"/>
    <s v="EMEA"/>
    <s v="Fernandez"/>
    <s v="Jesus"/>
    <s v="Large"/>
  </r>
  <r>
    <n v="10247"/>
    <n v="44"/>
    <n v="100"/>
    <n v="2"/>
    <x v="196"/>
    <d v="2004-05-05T00:00:00"/>
    <s v="Shipped"/>
    <n v="2"/>
    <n v="5"/>
    <x v="1"/>
    <x v="1"/>
    <n v="207"/>
    <s v="S12_1108"/>
    <s v="Suominen Souveniers"/>
    <s v="+358 9 8045 555"/>
    <s v="Software Engineering Center, SEC Oy"/>
    <m/>
    <s v="Espoo"/>
    <m/>
    <s v="FIN-02271"/>
    <x v="4"/>
    <s v="EMEA"/>
    <s v="Suominen"/>
    <s v="Kalle"/>
    <s v="Large"/>
  </r>
  <r>
    <n v="10272"/>
    <n v="35"/>
    <n v="100"/>
    <n v="2"/>
    <x v="197"/>
    <d v="2004-07-20T00:00:00"/>
    <s v="Shipped"/>
    <n v="3"/>
    <n v="7"/>
    <x v="1"/>
    <x v="1"/>
    <n v="207"/>
    <s v="S12_1108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41"/>
    <n v="100"/>
    <n v="5"/>
    <x v="198"/>
    <d v="2004-08-20T00:00:00"/>
    <s v="Shipped"/>
    <n v="3"/>
    <n v="8"/>
    <x v="1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293"/>
    <n v="46"/>
    <n v="100"/>
    <n v="8"/>
    <x v="199"/>
    <d v="2004-09-09T00:00:00"/>
    <s v="Shipped"/>
    <n v="3"/>
    <n v="9"/>
    <x v="1"/>
    <x v="1"/>
    <n v="207"/>
    <s v="S12_1108"/>
    <s v="Amica Models &amp; Co."/>
    <s v="011-4988555"/>
    <s v="Via Monte Bianco 34"/>
    <m/>
    <s v="Torino"/>
    <m/>
    <n v="10100"/>
    <x v="12"/>
    <s v="EMEA"/>
    <s v="Accorti"/>
    <s v="Paolo"/>
    <s v="Large"/>
  </r>
  <r>
    <n v="10306"/>
    <n v="31"/>
    <n v="100"/>
    <n v="13"/>
    <x v="200"/>
    <d v="2004-10-14T00:00:00"/>
    <s v="Shipped"/>
    <n v="4"/>
    <n v="10"/>
    <x v="1"/>
    <x v="1"/>
    <n v="207"/>
    <s v="S12_110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38"/>
    <n v="100"/>
    <n v="5"/>
    <x v="201"/>
    <d v="2004-10-22T00:00:00"/>
    <s v="Shipped"/>
    <n v="4"/>
    <n v="10"/>
    <x v="1"/>
    <x v="1"/>
    <n v="207"/>
    <s v="S12_1108"/>
    <s v="Heintze Collectables"/>
    <s v="86 21 3555"/>
    <s v="Smagsloget 45"/>
    <m/>
    <s v="Aaarhus"/>
    <m/>
    <n v="8200"/>
    <x v="13"/>
    <s v="EMEA"/>
    <s v="Ibsen"/>
    <s v="Palle"/>
    <s v="Large"/>
  </r>
  <r>
    <n v="10325"/>
    <n v="42"/>
    <n v="64"/>
    <n v="8"/>
    <x v="202"/>
    <d v="2004-11-05T00:00:00"/>
    <s v="Shipped"/>
    <n v="4"/>
    <n v="11"/>
    <x v="1"/>
    <x v="1"/>
    <n v="207"/>
    <s v="S12_1108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33"/>
    <n v="57.22"/>
    <n v="10"/>
    <x v="203"/>
    <d v="2004-11-20T00:00:00"/>
    <s v="Shipped"/>
    <n v="4"/>
    <n v="11"/>
    <x v="1"/>
    <x v="1"/>
    <n v="207"/>
    <s v="S12_1108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48"/>
    <n v="48"/>
    <n v="52.36"/>
    <n v="8"/>
    <x v="204"/>
    <d v="2004-11-01T00:00:00"/>
    <s v="Shipped"/>
    <n v="4"/>
    <n v="11"/>
    <x v="1"/>
    <x v="1"/>
    <n v="207"/>
    <s v="S12_1108"/>
    <s v="Corrida Auto Replicas, Ltd"/>
    <s v="(91) 555 22 82"/>
    <s v="C/ Araquil, 67"/>
    <m/>
    <s v="Madrid"/>
    <m/>
    <n v="28023"/>
    <x v="7"/>
    <s v="EMEA"/>
    <s v="Sommer"/>
    <s v="Mart¡n"/>
    <s v="Small"/>
  </r>
  <r>
    <n v="10359"/>
    <n v="42"/>
    <n v="100"/>
    <n v="8"/>
    <x v="205"/>
    <d v="2004-12-15T00:00:00"/>
    <s v="Shipped"/>
    <n v="4"/>
    <n v="12"/>
    <x v="1"/>
    <x v="1"/>
    <n v="207"/>
    <s v="S12_1108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32"/>
    <n v="100"/>
    <n v="6"/>
    <x v="206"/>
    <d v="2005-01-23T00:00:00"/>
    <s v="Shipped"/>
    <n v="1"/>
    <n v="1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34"/>
    <n v="100"/>
    <n v="10"/>
    <x v="207"/>
    <d v="2005-02-17T00:00:00"/>
    <s v="Shipped"/>
    <n v="1"/>
    <n v="2"/>
    <x v="2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5"/>
    <n v="33"/>
    <n v="69.12"/>
    <n v="1"/>
    <x v="208"/>
    <d v="2005-03-17T00:00:00"/>
    <s v="Shipped"/>
    <n v="1"/>
    <n v="3"/>
    <x v="2"/>
    <x v="1"/>
    <n v="207"/>
    <s v="S12_1108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413"/>
    <n v="36"/>
    <n v="100"/>
    <n v="2"/>
    <x v="209"/>
    <d v="2005-05-05T00:00:00"/>
    <s v="Shipped"/>
    <n v="2"/>
    <n v="5"/>
    <x v="2"/>
    <x v="1"/>
    <n v="207"/>
    <s v="S12_1108"/>
    <s v="Gift Depot Inc."/>
    <n v="2035552570"/>
    <s v="25593 South Bay Ln."/>
    <m/>
    <s v="Bridgewater"/>
    <s v="CT"/>
    <n v="97562"/>
    <x v="0"/>
    <s v="NA"/>
    <s v="King"/>
    <s v="Julie"/>
    <s v="Large"/>
  </r>
  <r>
    <n v="10103"/>
    <n v="27"/>
    <n v="100"/>
    <n v="8"/>
    <x v="210"/>
    <d v="2003-01-29T00:00:00"/>
    <s v="Shipped"/>
    <n v="1"/>
    <n v="1"/>
    <x v="0"/>
    <x v="2"/>
    <n v="136"/>
    <s v="S12_1666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21"/>
    <n v="100"/>
    <n v="2"/>
    <x v="211"/>
    <d v="2003-03-26T00:00:00"/>
    <s v="Shipped"/>
    <n v="1"/>
    <n v="3"/>
    <x v="0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26"/>
    <n v="21"/>
    <n v="100"/>
    <n v="8"/>
    <x v="212"/>
    <d v="2003-05-28T00:00:00"/>
    <s v="Shipped"/>
    <n v="2"/>
    <n v="5"/>
    <x v="0"/>
    <x v="2"/>
    <n v="136"/>
    <s v="S12_1666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38"/>
    <n v="100"/>
    <n v="8"/>
    <x v="213"/>
    <d v="2003-07-24T00:00:00"/>
    <s v="Shipped"/>
    <n v="3"/>
    <n v="7"/>
    <x v="0"/>
    <x v="2"/>
    <n v="136"/>
    <s v="S12_1666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30"/>
    <n v="100"/>
    <n v="5"/>
    <x v="214"/>
    <d v="2003-09-19T00:00:00"/>
    <s v="Shipped"/>
    <n v="3"/>
    <n v="9"/>
    <x v="0"/>
    <x v="2"/>
    <n v="136"/>
    <s v="S12_1666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49"/>
    <n v="100"/>
    <n v="6"/>
    <x v="215"/>
    <d v="2003-10-21T00:00:00"/>
    <s v="Resolved"/>
    <n v="4"/>
    <n v="10"/>
    <x v="0"/>
    <x v="2"/>
    <n v="136"/>
    <s v="S12_1666"/>
    <s v="Mini Auto Werke"/>
    <s v="7675-3555"/>
    <s v="Kirchgasse 6"/>
    <m/>
    <s v="Graz"/>
    <m/>
    <n v="8010"/>
    <x v="5"/>
    <s v="EMEA"/>
    <s v="Mendel"/>
    <s v="Roland"/>
    <s v="Medium"/>
  </r>
  <r>
    <n v="10174"/>
    <n v="43"/>
    <n v="100"/>
    <n v="1"/>
    <x v="216"/>
    <d v="2003-11-06T00:00:00"/>
    <s v="Shipped"/>
    <n v="4"/>
    <n v="11"/>
    <x v="0"/>
    <x v="2"/>
    <n v="136"/>
    <s v="S12_1666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41"/>
    <n v="100"/>
    <n v="5"/>
    <x v="217"/>
    <d v="2003-11-13T00:00:00"/>
    <s v="Shipped"/>
    <n v="4"/>
    <n v="11"/>
    <x v="0"/>
    <x v="2"/>
    <n v="136"/>
    <s v="S12_1666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38"/>
    <n v="100"/>
    <n v="8"/>
    <x v="218"/>
    <d v="2003-11-25T00:00:00"/>
    <s v="Shipped"/>
    <n v="4"/>
    <n v="11"/>
    <x v="0"/>
    <x v="2"/>
    <n v="136"/>
    <s v="S12_1666"/>
    <s v="Saveley &amp; Henriot, Co."/>
    <s v="78.32.5555"/>
    <s v="2, rue du Commerce"/>
    <m/>
    <s v="Lyon"/>
    <m/>
    <n v="69004"/>
    <x v="1"/>
    <s v="EMEA"/>
    <s v="Saveley"/>
    <s v="Mary"/>
    <s v="Medium"/>
  </r>
  <r>
    <n v="10206"/>
    <n v="28"/>
    <n v="100"/>
    <n v="3"/>
    <x v="219"/>
    <d v="2003-12-05T00:00:00"/>
    <s v="Shipped"/>
    <n v="4"/>
    <n v="12"/>
    <x v="0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6"/>
    <n v="43"/>
    <n v="100"/>
    <n v="1"/>
    <x v="220"/>
    <d v="2004-02-02T00:00:00"/>
    <s v="Shipped"/>
    <n v="1"/>
    <n v="2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s v="Medium"/>
  </r>
  <r>
    <n v="10229"/>
    <n v="25"/>
    <n v="100"/>
    <n v="13"/>
    <x v="221"/>
    <d v="2004-03-11T00:00:00"/>
    <s v="Shipped"/>
    <n v="1"/>
    <n v="3"/>
    <x v="1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38"/>
    <n v="100"/>
    <n v="6"/>
    <x v="222"/>
    <d v="2004-05-04T00:00:00"/>
    <s v="Shipped"/>
    <n v="2"/>
    <n v="5"/>
    <x v="1"/>
    <x v="2"/>
    <n v="136"/>
    <s v="S12_1666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3"/>
    <x v="223"/>
    <d v="2004-06-15T00:00:00"/>
    <s v="Shipped"/>
    <n v="2"/>
    <n v="6"/>
    <x v="1"/>
    <x v="2"/>
    <n v="136"/>
    <s v="S12_1666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28"/>
    <n v="100"/>
    <n v="6"/>
    <x v="224"/>
    <d v="2004-07-19T00:00:00"/>
    <s v="Shipped"/>
    <n v="3"/>
    <n v="7"/>
    <x v="1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100"/>
    <n v="13"/>
    <x v="225"/>
    <d v="2004-08-19T00:00:00"/>
    <s v="Shipped"/>
    <n v="3"/>
    <n v="8"/>
    <x v="1"/>
    <x v="2"/>
    <n v="136"/>
    <s v="S12_1666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1"/>
    <n v="100"/>
    <n v="8"/>
    <x v="226"/>
    <d v="2004-09-08T00:00:00"/>
    <s v="Shipped"/>
    <n v="3"/>
    <n v="9"/>
    <x v="1"/>
    <x v="2"/>
    <n v="136"/>
    <s v="S12_1666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39"/>
    <n v="100"/>
    <n v="3"/>
    <x v="227"/>
    <d v="2004-10-11T00:00:00"/>
    <s v="Shipped"/>
    <n v="4"/>
    <n v="10"/>
    <x v="1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3"/>
    <n v="21"/>
    <n v="100"/>
    <n v="11"/>
    <x v="228"/>
    <d v="2004-10-22T00:00:00"/>
    <s v="Shipped"/>
    <n v="4"/>
    <n v="10"/>
    <x v="1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2"/>
    <n v="27"/>
    <n v="100"/>
    <n v="9"/>
    <x v="229"/>
    <d v="2004-11-04T00:00:00"/>
    <s v="Shipped"/>
    <n v="4"/>
    <n v="11"/>
    <x v="1"/>
    <x v="2"/>
    <n v="136"/>
    <s v="S12_166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33"/>
    <n v="99.21"/>
    <n v="6"/>
    <x v="230"/>
    <d v="2004-11-18T00:00:00"/>
    <s v="Shipped"/>
    <n v="4"/>
    <n v="11"/>
    <x v="1"/>
    <x v="2"/>
    <n v="136"/>
    <s v="S12_1666"/>
    <s v="Mini Wheels Co."/>
    <n v="6505555787"/>
    <s v="5557 North Pendale Street"/>
    <m/>
    <s v="San Francisco"/>
    <s v="CA"/>
    <m/>
    <x v="0"/>
    <s v="NA"/>
    <s v="Murphy"/>
    <s v="Julie"/>
    <s v="Medium"/>
  </r>
  <r>
    <n v="10347"/>
    <n v="29"/>
    <n v="100"/>
    <n v="3"/>
    <x v="231"/>
    <d v="2004-11-29T00:00:00"/>
    <s v="Shipped"/>
    <n v="4"/>
    <n v="11"/>
    <x v="1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9"/>
    <n v="100"/>
    <n v="8"/>
    <x v="232"/>
    <d v="2004-12-10T00:00:00"/>
    <s v="Shipped"/>
    <n v="4"/>
    <n v="12"/>
    <x v="1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49"/>
    <n v="100"/>
    <n v="8"/>
    <x v="233"/>
    <d v="2005-01-20T00:00:00"/>
    <s v="Shipped"/>
    <n v="1"/>
    <n v="1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381"/>
    <n v="20"/>
    <n v="100"/>
    <n v="1"/>
    <x v="234"/>
    <d v="2005-02-17T00:00:00"/>
    <s v="Shipped"/>
    <n v="1"/>
    <n v="2"/>
    <x v="2"/>
    <x v="2"/>
    <n v="136"/>
    <s v="S12_1666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39"/>
    <n v="63.2"/>
    <n v="9"/>
    <x v="235"/>
    <d v="2005-03-09T00:00:00"/>
    <s v="Shipped"/>
    <n v="1"/>
    <n v="3"/>
    <x v="2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40"/>
    <n v="100"/>
    <n v="6"/>
    <x v="236"/>
    <d v="2005-05-01T00:00:00"/>
    <s v="Shipped"/>
    <n v="2"/>
    <n v="5"/>
    <x v="2"/>
    <x v="2"/>
    <n v="136"/>
    <s v="S12_1666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49"/>
    <n v="100"/>
    <n v="3"/>
    <x v="237"/>
    <d v="2005-05-31T00:00:00"/>
    <s v="In Process"/>
    <n v="2"/>
    <n v="5"/>
    <x v="2"/>
    <x v="2"/>
    <n v="136"/>
    <s v="S12_1666"/>
    <s v="Euro Shopping Channel"/>
    <s v="(91) 555 94 44"/>
    <s v="C/ Moralzarzal, 86"/>
    <m/>
    <s v="Madrid"/>
    <m/>
    <n v="28034"/>
    <x v="7"/>
    <s v="EMEA"/>
    <s v="Freyre"/>
    <s v="Diego"/>
    <s v="Large"/>
  </r>
  <r>
    <n v="10107"/>
    <n v="21"/>
    <n v="100"/>
    <n v="1"/>
    <x v="238"/>
    <d v="2003-02-24T00:00:00"/>
    <s v="Shipped"/>
    <n v="1"/>
    <n v="2"/>
    <x v="0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s v="Medium"/>
  </r>
  <r>
    <n v="10121"/>
    <n v="50"/>
    <n v="100"/>
    <n v="4"/>
    <x v="239"/>
    <d v="2003-05-07T00:00:00"/>
    <s v="Shipped"/>
    <n v="2"/>
    <n v="5"/>
    <x v="0"/>
    <x v="0"/>
    <n v="150"/>
    <s v="S12_2823"/>
    <s v="Reims Collectables"/>
    <s v="26.47.1555"/>
    <s v="59 rue de l'Abbaye"/>
    <m/>
    <s v="Reims"/>
    <m/>
    <n v="51100"/>
    <x v="1"/>
    <s v="EMEA"/>
    <s v="Henriot"/>
    <s v="Paul"/>
    <s v="Large"/>
  </r>
  <r>
    <n v="10134"/>
    <n v="20"/>
    <n v="100"/>
    <n v="1"/>
    <x v="240"/>
    <d v="2003-07-01T00:00:00"/>
    <s v="Shipped"/>
    <n v="3"/>
    <n v="7"/>
    <x v="0"/>
    <x v="0"/>
    <n v="150"/>
    <s v="S12_2823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145"/>
    <n v="49"/>
    <n v="100"/>
    <n v="5"/>
    <x v="241"/>
    <d v="2003-08-25T00:00:00"/>
    <s v="Shipped"/>
    <n v="3"/>
    <n v="8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s v="Large"/>
  </r>
  <r>
    <n v="10159"/>
    <n v="38"/>
    <n v="100"/>
    <n v="13"/>
    <x v="242"/>
    <d v="2003-10-10T00:00:00"/>
    <s v="Shipped"/>
    <n v="4"/>
    <n v="10"/>
    <x v="0"/>
    <x v="0"/>
    <n v="150"/>
    <s v="S12_2823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5"/>
    <n v="100"/>
    <n v="13"/>
    <x v="243"/>
    <d v="2003-11-04T00:00:00"/>
    <s v="Shipped"/>
    <n v="4"/>
    <n v="11"/>
    <x v="0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0"/>
    <n v="100"/>
    <n v="8"/>
    <x v="244"/>
    <d v="2003-11-11T00:00:00"/>
    <s v="Shipped"/>
    <n v="4"/>
    <n v="11"/>
    <x v="0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s v="Medium"/>
  </r>
  <r>
    <n v="10189"/>
    <n v="28"/>
    <n v="100"/>
    <n v="1"/>
    <x v="245"/>
    <d v="2003-11-18T00:00:00"/>
    <s v="Shipped"/>
    <n v="4"/>
    <n v="11"/>
    <x v="0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s v="Medium"/>
  </r>
  <r>
    <n v="10201"/>
    <n v="25"/>
    <n v="100"/>
    <n v="1"/>
    <x v="246"/>
    <d v="2003-12-01T00:00:00"/>
    <s v="Shipped"/>
    <n v="4"/>
    <n v="12"/>
    <x v="0"/>
    <x v="0"/>
    <n v="150"/>
    <s v="S12_2823"/>
    <s v="Mini Wheels Co."/>
    <n v="6505555787"/>
    <s v="5557 North Pendale Street"/>
    <m/>
    <s v="San Francisco"/>
    <s v="CA"/>
    <m/>
    <x v="0"/>
    <s v="NA"/>
    <s v="Murphy"/>
    <s v="Julie"/>
    <s v="Medium"/>
  </r>
  <r>
    <n v="10211"/>
    <n v="36"/>
    <n v="100"/>
    <n v="13"/>
    <x v="247"/>
    <d v="2004-01-15T00:00:00"/>
    <s v="Shipped"/>
    <n v="1"/>
    <n v="1"/>
    <x v="1"/>
    <x v="0"/>
    <n v="150"/>
    <s v="S12_2823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43"/>
    <n v="100"/>
    <n v="6"/>
    <x v="248"/>
    <d v="2004-02-21T00:00:00"/>
    <s v="Shipped"/>
    <n v="1"/>
    <n v="2"/>
    <x v="1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32"/>
    <n v="100"/>
    <n v="6"/>
    <x v="249"/>
    <d v="2004-04-05T00:00:00"/>
    <s v="Shipped"/>
    <n v="2"/>
    <n v="4"/>
    <x v="1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1"/>
    <n v="46"/>
    <n v="100"/>
    <n v="1"/>
    <x v="250"/>
    <d v="2004-05-18T00:00:00"/>
    <s v="Shipped"/>
    <n v="2"/>
    <n v="5"/>
    <x v="1"/>
    <x v="0"/>
    <n v="150"/>
    <s v="S12_2823"/>
    <s v="Tekni Collectables Inc."/>
    <n v="2015559350"/>
    <s v="7476 Moss Rd."/>
    <m/>
    <s v="Newark"/>
    <s v="NJ"/>
    <n v="94019"/>
    <x v="0"/>
    <s v="NA"/>
    <s v="Brown"/>
    <s v="William"/>
    <s v="Large"/>
  </r>
  <r>
    <n v="10263"/>
    <n v="48"/>
    <n v="100"/>
    <n v="1"/>
    <x v="251"/>
    <d v="2004-06-28T00:00:00"/>
    <s v="Shipped"/>
    <n v="2"/>
    <n v="6"/>
    <x v="1"/>
    <x v="0"/>
    <n v="150"/>
    <s v="S12_2823"/>
    <s v="Gift Depot Inc."/>
    <n v="2035552570"/>
    <s v="25593 South Bay Ln."/>
    <m/>
    <s v="Bridgewater"/>
    <s v="CT"/>
    <n v="97562"/>
    <x v="0"/>
    <s v="NA"/>
    <s v="King"/>
    <s v="Julie"/>
    <s v="Medium"/>
  </r>
  <r>
    <n v="10276"/>
    <n v="43"/>
    <n v="100"/>
    <n v="14"/>
    <x v="252"/>
    <d v="2004-08-02T00:00:00"/>
    <s v="Shipped"/>
    <n v="3"/>
    <n v="8"/>
    <x v="1"/>
    <x v="0"/>
    <n v="150"/>
    <s v="S12_2823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49"/>
    <n v="100"/>
    <n v="5"/>
    <x v="253"/>
    <d v="2004-08-27T00:00:00"/>
    <s v="Shipped"/>
    <n v="3"/>
    <n v="8"/>
    <x v="1"/>
    <x v="0"/>
    <n v="150"/>
    <s v="S12_282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24"/>
    <n v="100"/>
    <n v="8"/>
    <x v="254"/>
    <d v="2004-09-30T00:00:00"/>
    <s v="Shipped"/>
    <n v="3"/>
    <n v="9"/>
    <x v="1"/>
    <x v="0"/>
    <n v="150"/>
    <s v="S12_2823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6"/>
    <n v="100"/>
    <n v="4"/>
    <x v="255"/>
    <d v="2004-10-15T00:00:00"/>
    <s v="Shipped"/>
    <n v="4"/>
    <n v="10"/>
    <x v="1"/>
    <x v="0"/>
    <n v="150"/>
    <s v="S12_2823"/>
    <s v="Baane Mini Imports"/>
    <s v="07-98 9555"/>
    <s v="Erling Skakkes gate 78"/>
    <m/>
    <s v="Stavern"/>
    <m/>
    <n v="4110"/>
    <x v="2"/>
    <s v="EMEA"/>
    <s v="Bergulfsen"/>
    <s v="Jonas"/>
    <s v="Medium"/>
  </r>
  <r>
    <n v="10319"/>
    <n v="30"/>
    <n v="100"/>
    <n v="9"/>
    <x v="256"/>
    <d v="2004-11-03T00:00:00"/>
    <s v="Shipped"/>
    <n v="4"/>
    <n v="11"/>
    <x v="1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24"/>
    <n v="100"/>
    <n v="6"/>
    <x v="257"/>
    <d v="2004-11-15T00:00:00"/>
    <s v="Shipped"/>
    <n v="4"/>
    <n v="11"/>
    <x v="1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55"/>
    <n v="100"/>
    <n v="8"/>
    <x v="258"/>
    <d v="2004-11-24T00:00:00"/>
    <s v="Shipped"/>
    <n v="4"/>
    <n v="11"/>
    <x v="1"/>
    <x v="0"/>
    <n v="150"/>
    <s v="S12_2823"/>
    <s v="Salzburg Collectables"/>
    <s v="6562-9555"/>
    <s v="Geislweg 14"/>
    <m/>
    <s v="Salzburg"/>
    <m/>
    <n v="5020"/>
    <x v="5"/>
    <s v="EMEA"/>
    <s v="Pipps"/>
    <s v="Georg"/>
    <s v="Large"/>
  </r>
  <r>
    <n v="10362"/>
    <n v="22"/>
    <n v="100"/>
    <n v="1"/>
    <x v="259"/>
    <d v="2005-01-05T00:00:00"/>
    <s v="Shipped"/>
    <n v="1"/>
    <n v="1"/>
    <x v="2"/>
    <x v="0"/>
    <n v="150"/>
    <s v="S12_2823"/>
    <s v="Technics Stores Inc."/>
    <n v="6505556809"/>
    <s v="9408 Furth Circle"/>
    <m/>
    <s v="Burlingame"/>
    <s v="CA"/>
    <n v="94217"/>
    <x v="0"/>
    <s v="NA"/>
    <s v="Hirano"/>
    <s v="Juri"/>
    <s v="Medium"/>
  </r>
  <r>
    <n v="10375"/>
    <n v="49"/>
    <n v="78.92"/>
    <n v="13"/>
    <x v="260"/>
    <d v="2005-02-03T00:00:00"/>
    <s v="Shipped"/>
    <n v="1"/>
    <n v="2"/>
    <x v="2"/>
    <x v="0"/>
    <n v="150"/>
    <s v="S12_2823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44"/>
    <n v="100"/>
    <n v="6"/>
    <x v="261"/>
    <d v="2005-03-03T00:00:00"/>
    <s v="Shipped"/>
    <n v="1"/>
    <n v="3"/>
    <x v="2"/>
    <x v="0"/>
    <n v="150"/>
    <s v="S12_2823"/>
    <s v="FunGiftIdeas.com"/>
    <n v="5085552555"/>
    <s v="1785 First Street"/>
    <m/>
    <s v="New Bedford"/>
    <s v="MA"/>
    <n v="50553"/>
    <x v="0"/>
    <s v="NA"/>
    <s v="Benitez"/>
    <s v="Violeta"/>
    <s v="Medium"/>
  </r>
  <r>
    <n v="10403"/>
    <n v="66"/>
    <n v="100"/>
    <n v="6"/>
    <x v="262"/>
    <d v="2005-04-08T00:00:00"/>
    <s v="Shipped"/>
    <n v="2"/>
    <n v="4"/>
    <x v="2"/>
    <x v="0"/>
    <n v="150"/>
    <s v="S12_2823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417"/>
    <n v="21"/>
    <n v="100"/>
    <n v="1"/>
    <x v="263"/>
    <d v="2005-05-13T00:00:00"/>
    <s v="Disputed"/>
    <n v="2"/>
    <n v="5"/>
    <x v="2"/>
    <x v="0"/>
    <n v="150"/>
    <s v="S12_2823"/>
    <s v="Euro Shopping Channel"/>
    <s v="(91) 555 94 44"/>
    <s v="C/ Moralzarzal, 86"/>
    <m/>
    <s v="Madrid"/>
    <m/>
    <n v="28034"/>
    <x v="7"/>
    <s v="EMEA"/>
    <s v="Freyre"/>
    <s v="Diego"/>
    <s v="Medium"/>
  </r>
  <r>
    <n v="10104"/>
    <n v="34"/>
    <n v="100"/>
    <n v="1"/>
    <x v="264"/>
    <d v="2003-01-31T00:00:00"/>
    <s v="Shipped"/>
    <n v="1"/>
    <n v="1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Medium"/>
  </r>
  <r>
    <n v="10117"/>
    <n v="43"/>
    <n v="100"/>
    <n v="10"/>
    <x v="265"/>
    <d v="2003-04-16T00:00:00"/>
    <s v="Shipped"/>
    <n v="2"/>
    <n v="4"/>
    <x v="0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6"/>
    <n v="100"/>
    <n v="3"/>
    <x v="266"/>
    <d v="2003-06-03T00:00:00"/>
    <s v="Shipped"/>
    <n v="2"/>
    <n v="6"/>
    <x v="0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33"/>
    <n v="100"/>
    <n v="13"/>
    <x v="267"/>
    <d v="2003-08-08T00:00:00"/>
    <s v="Shipped"/>
    <n v="3"/>
    <n v="8"/>
    <x v="0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42"/>
    <n v="100"/>
    <n v="12"/>
    <x v="268"/>
    <d v="2003-09-28T00:00:00"/>
    <s v="Shipped"/>
    <n v="3"/>
    <n v="9"/>
    <x v="0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Medium"/>
  </r>
  <r>
    <n v="10165"/>
    <n v="34"/>
    <n v="100"/>
    <n v="4"/>
    <x v="269"/>
    <d v="2003-10-22T00:00:00"/>
    <s v="Shipped"/>
    <n v="4"/>
    <n v="10"/>
    <x v="0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47"/>
    <n v="100"/>
    <n v="3"/>
    <x v="270"/>
    <d v="2003-11-06T00:00:00"/>
    <s v="Shipped"/>
    <n v="4"/>
    <n v="11"/>
    <x v="0"/>
    <x v="1"/>
    <n v="151"/>
    <s v="S12_3148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33"/>
    <n v="100"/>
    <n v="14"/>
    <x v="271"/>
    <d v="2003-11-14T00:00:00"/>
    <s v="Shipped"/>
    <n v="4"/>
    <n v="11"/>
    <x v="0"/>
    <x v="1"/>
    <n v="151"/>
    <s v="S12_3148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24"/>
    <n v="100"/>
    <n v="6"/>
    <x v="272"/>
    <d v="2003-11-26T00:00:00"/>
    <s v="Shipped"/>
    <n v="4"/>
    <n v="11"/>
    <x v="0"/>
    <x v="1"/>
    <n v="151"/>
    <s v="S12_314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26"/>
    <n v="100"/>
    <n v="14"/>
    <x v="273"/>
    <d v="2004-01-02T00:00:00"/>
    <s v="Shipped"/>
    <n v="1"/>
    <n v="1"/>
    <x v="1"/>
    <x v="1"/>
    <n v="151"/>
    <s v="S12_3148"/>
    <s v="Saveley &amp; Henriot, Co."/>
    <s v="78.32.5555"/>
    <s v="2, rue du Commerce"/>
    <m/>
    <s v="Lyon"/>
    <m/>
    <n v="69004"/>
    <x v="1"/>
    <s v="EMEA"/>
    <s v="Saveley"/>
    <s v="Mary"/>
    <s v="Medium"/>
  </r>
  <r>
    <n v="10220"/>
    <n v="30"/>
    <n v="100"/>
    <n v="3"/>
    <x v="274"/>
    <d v="2004-02-12T00:00:00"/>
    <s v="Shipped"/>
    <n v="1"/>
    <n v="2"/>
    <x v="1"/>
    <x v="1"/>
    <n v="151"/>
    <s v="S12_3148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43"/>
    <n v="100"/>
    <n v="1"/>
    <x v="275"/>
    <d v="2004-03-15T00:00:00"/>
    <s v="Shipped"/>
    <n v="1"/>
    <n v="3"/>
    <x v="1"/>
    <x v="1"/>
    <n v="151"/>
    <s v="S12_3148"/>
    <s v="Blauer See Auto, Co."/>
    <s v="+49 69 66 90 2555"/>
    <s v="Lyonerstr. 34"/>
    <m/>
    <s v="Frankfurt"/>
    <m/>
    <n v="60528"/>
    <x v="16"/>
    <s v="EMEA"/>
    <s v="Keitel"/>
    <s v="Roland"/>
    <s v="Large"/>
  </r>
  <r>
    <n v="10247"/>
    <n v="25"/>
    <n v="100"/>
    <n v="3"/>
    <x v="276"/>
    <d v="2004-05-05T00:00:00"/>
    <s v="Shipped"/>
    <n v="2"/>
    <n v="5"/>
    <x v="1"/>
    <x v="1"/>
    <n v="151"/>
    <s v="S12_3148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27"/>
    <n v="100"/>
    <n v="3"/>
    <x v="277"/>
    <d v="2004-07-20T00:00:00"/>
    <s v="Shipped"/>
    <n v="3"/>
    <n v="7"/>
    <x v="1"/>
    <x v="1"/>
    <n v="151"/>
    <s v="S12_3148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27"/>
    <n v="100"/>
    <n v="6"/>
    <x v="278"/>
    <d v="2004-08-20T00:00:00"/>
    <s v="Shipped"/>
    <n v="3"/>
    <n v="8"/>
    <x v="1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9"/>
    <x v="279"/>
    <d v="2004-09-09T00:00:00"/>
    <s v="Shipped"/>
    <n v="3"/>
    <n v="9"/>
    <x v="1"/>
    <x v="1"/>
    <n v="151"/>
    <s v="S12_3148"/>
    <s v="Amica Models &amp; Co."/>
    <s v="011-4988555"/>
    <s v="Via Monte Bianco 34"/>
    <m/>
    <s v="Torino"/>
    <m/>
    <n v="10100"/>
    <x v="12"/>
    <s v="EMEA"/>
    <s v="Accorti"/>
    <s v="Paolo"/>
    <s v="Medium"/>
  </r>
  <r>
    <n v="10306"/>
    <n v="34"/>
    <n v="100"/>
    <n v="14"/>
    <x v="280"/>
    <d v="2004-10-14T00:00:00"/>
    <s v="Shipped"/>
    <n v="4"/>
    <n v="10"/>
    <x v="1"/>
    <x v="1"/>
    <n v="151"/>
    <s v="S12_314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46"/>
    <n v="100"/>
    <n v="6"/>
    <x v="281"/>
    <d v="2004-10-22T00:00:00"/>
    <s v="Shipped"/>
    <n v="4"/>
    <n v="10"/>
    <x v="1"/>
    <x v="1"/>
    <n v="151"/>
    <s v="S12_3148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27"/>
    <n v="54.33"/>
    <n v="1"/>
    <x v="282"/>
    <d v="2004-11-05T00:00:00"/>
    <s v="Shipped"/>
    <n v="4"/>
    <n v="11"/>
    <x v="1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3"/>
    <n v="100"/>
    <n v="11"/>
    <x v="283"/>
    <d v="2004-11-20T00:00:00"/>
    <s v="Shipped"/>
    <n v="4"/>
    <n v="11"/>
    <x v="1"/>
    <x v="1"/>
    <n v="151"/>
    <s v="S12_314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8"/>
    <n v="47"/>
    <n v="100"/>
    <n v="4"/>
    <x v="284"/>
    <d v="2004-11-01T00:00:00"/>
    <s v="Shipped"/>
    <n v="4"/>
    <n v="11"/>
    <x v="1"/>
    <x v="1"/>
    <n v="151"/>
    <s v="S12_3148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9"/>
    <n v="55.34"/>
    <n v="5"/>
    <x v="285"/>
    <d v="2004-12-10T00:00:00"/>
    <s v="Shipped"/>
    <n v="4"/>
    <n v="12"/>
    <x v="1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0"/>
    <n v="100"/>
    <n v="4"/>
    <x v="286"/>
    <d v="2005-01-26T00:00:00"/>
    <s v="Shipped"/>
    <n v="1"/>
    <n v="1"/>
    <x v="2"/>
    <x v="1"/>
    <n v="151"/>
    <s v="S12_314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2"/>
    <n v="37"/>
    <n v="100"/>
    <n v="11"/>
    <x v="287"/>
    <d v="2005-02-17T00:00:00"/>
    <s v="Shipped"/>
    <n v="1"/>
    <n v="2"/>
    <x v="2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3"/>
    <n v="47"/>
    <n v="100"/>
    <n v="3"/>
    <x v="288"/>
    <d v="2005-05-05T00:00:00"/>
    <s v="Shipped"/>
    <n v="2"/>
    <n v="5"/>
    <x v="2"/>
    <x v="1"/>
    <n v="151"/>
    <s v="S12_3148"/>
    <s v="Gift Depot Inc."/>
    <n v="2035552570"/>
    <s v="25593 South Bay Ln."/>
    <m/>
    <s v="Bridgewater"/>
    <s v="CT"/>
    <n v="97562"/>
    <x v="0"/>
    <s v="NA"/>
    <s v="King"/>
    <s v="Julie"/>
    <s v="Large"/>
  </r>
  <r>
    <n v="10108"/>
    <n v="45"/>
    <n v="100"/>
    <n v="4"/>
    <x v="289"/>
    <d v="2003-03-03T00:00:00"/>
    <s v="Shipped"/>
    <n v="1"/>
    <n v="3"/>
    <x v="0"/>
    <x v="1"/>
    <n v="117"/>
    <s v="S12_338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7"/>
    <n v="99.82"/>
    <n v="8"/>
    <x v="290"/>
    <d v="2003-05-08T00:00:00"/>
    <s v="Shipped"/>
    <n v="2"/>
    <n v="5"/>
    <x v="0"/>
    <x v="1"/>
    <n v="117"/>
    <s v="S12_3380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8"/>
    <n v="100"/>
    <n v="5"/>
    <x v="291"/>
    <d v="2003-07-02T00:00:00"/>
    <s v="Shipped"/>
    <n v="3"/>
    <n v="7"/>
    <x v="0"/>
    <x v="1"/>
    <n v="117"/>
    <s v="S12_338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1"/>
    <n v="100"/>
    <n v="5"/>
    <x v="292"/>
    <d v="2003-09-05T00:00:00"/>
    <s v="Shipped"/>
    <n v="3"/>
    <n v="9"/>
    <x v="0"/>
    <x v="1"/>
    <n v="117"/>
    <s v="S12_3380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60"/>
    <n v="46"/>
    <n v="100"/>
    <n v="6"/>
    <x v="293"/>
    <d v="2003-10-11T00:00:00"/>
    <s v="Shipped"/>
    <n v="4"/>
    <n v="10"/>
    <x v="0"/>
    <x v="1"/>
    <n v="117"/>
    <s v="S12_3380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47"/>
    <n v="100"/>
    <n v="4"/>
    <x v="294"/>
    <d v="2003-11-04T00:00:00"/>
    <s v="Shipped"/>
    <n v="4"/>
    <n v="11"/>
    <x v="0"/>
    <x v="1"/>
    <n v="117"/>
    <s v="S12_3380"/>
    <s v="Mini Auto Werke"/>
    <s v="7675-3555"/>
    <s v="Kirchgasse 6"/>
    <m/>
    <s v="Graz"/>
    <m/>
    <n v="8010"/>
    <x v="5"/>
    <s v="EMEA"/>
    <s v="Mendel"/>
    <s v="Roland"/>
    <s v="Medium"/>
  </r>
  <r>
    <n v="10181"/>
    <n v="28"/>
    <n v="100"/>
    <n v="12"/>
    <x v="295"/>
    <d v="2003-11-12T00:00:00"/>
    <s v="Shipped"/>
    <n v="4"/>
    <n v="11"/>
    <x v="0"/>
    <x v="1"/>
    <n v="117"/>
    <s v="S12_3380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40"/>
    <n v="100"/>
    <n v="1"/>
    <x v="296"/>
    <d v="2003-11-20T00:00:00"/>
    <s v="Shipped"/>
    <n v="4"/>
    <n v="11"/>
    <x v="0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20"/>
    <n v="100"/>
    <n v="6"/>
    <x v="297"/>
    <d v="2003-12-02T00:00:00"/>
    <s v="Shipped"/>
    <n v="4"/>
    <n v="12"/>
    <x v="0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s v="Small"/>
  </r>
  <r>
    <n v="10212"/>
    <n v="39"/>
    <n v="100"/>
    <n v="16"/>
    <x v="298"/>
    <d v="2004-01-16T00:00:00"/>
    <s v="Shipped"/>
    <n v="1"/>
    <n v="1"/>
    <x v="1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25"/>
    <n v="99.82"/>
    <n v="7"/>
    <x v="299"/>
    <d v="2004-02-22T00:00:00"/>
    <s v="Shipped"/>
    <n v="1"/>
    <n v="2"/>
    <x v="1"/>
    <x v="1"/>
    <n v="117"/>
    <s v="S12_3380"/>
    <s v="Vida Sport, Ltd"/>
    <s v="0897-034555"/>
    <s v="Grenzacherweg 237"/>
    <m/>
    <s v="Gensve"/>
    <m/>
    <n v="1203"/>
    <x v="17"/>
    <s v="EMEA"/>
    <s v="Holz"/>
    <s v="Michael"/>
    <s v="Small"/>
  </r>
  <r>
    <n v="10238"/>
    <n v="29"/>
    <n v="100"/>
    <n v="1"/>
    <x v="300"/>
    <d v="2004-04-09T00:00:00"/>
    <s v="Shipped"/>
    <n v="2"/>
    <n v="4"/>
    <x v="1"/>
    <x v="1"/>
    <n v="117"/>
    <s v="S12_3380"/>
    <s v="Danish Wholesale Imports"/>
    <s v="31 12 3555"/>
    <s v="Vinb'ltet 34"/>
    <m/>
    <s v="Kobenhavn"/>
    <m/>
    <n v="1734"/>
    <x v="13"/>
    <s v="EMEA"/>
    <s v="Petersen"/>
    <s v="Jytte"/>
    <s v="Medium"/>
  </r>
  <r>
    <n v="10253"/>
    <n v="22"/>
    <n v="100"/>
    <n v="11"/>
    <x v="301"/>
    <d v="2004-06-01T00:00:00"/>
    <s v="Cancelled"/>
    <n v="2"/>
    <n v="6"/>
    <x v="1"/>
    <x v="1"/>
    <n v="117"/>
    <s v="S12_338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22"/>
    <n v="100"/>
    <n v="12"/>
    <x v="302"/>
    <d v="2004-07-06T00:00:00"/>
    <s v="Shipped"/>
    <n v="3"/>
    <n v="7"/>
    <x v="1"/>
    <x v="1"/>
    <n v="117"/>
    <s v="S12_338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47"/>
    <n v="100"/>
    <n v="1"/>
    <x v="294"/>
    <d v="2004-08-02T00:00:00"/>
    <s v="Shipped"/>
    <n v="3"/>
    <n v="8"/>
    <x v="1"/>
    <x v="1"/>
    <n v="117"/>
    <s v="S12_338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5"/>
    <n v="100"/>
    <n v="10"/>
    <x v="303"/>
    <d v="2004-08-30T00:00:00"/>
    <s v="Shipped"/>
    <n v="3"/>
    <n v="8"/>
    <x v="1"/>
    <x v="1"/>
    <n v="117"/>
    <s v="S12_3380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29"/>
    <n v="100"/>
    <n v="3"/>
    <x v="304"/>
    <d v="2003-10-04T00:00:00"/>
    <s v="Shipped"/>
    <n v="4"/>
    <n v="10"/>
    <x v="0"/>
    <x v="1"/>
    <n v="117"/>
    <s v="S12_3380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4"/>
    <n v="100"/>
    <n v="8"/>
    <x v="305"/>
    <d v="2004-10-16T00:00:00"/>
    <s v="Shipped"/>
    <n v="4"/>
    <n v="10"/>
    <x v="1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5"/>
    <n v="100"/>
    <n v="1"/>
    <x v="306"/>
    <d v="2004-11-03T00:00:00"/>
    <s v="Shipped"/>
    <n v="4"/>
    <n v="11"/>
    <x v="1"/>
    <x v="1"/>
    <n v="117"/>
    <s v="S12_338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29"/>
    <n v="46"/>
    <n v="83.63"/>
    <n v="13"/>
    <x v="307"/>
    <d v="2004-11-15T00:00:00"/>
    <s v="Shipped"/>
    <n v="4"/>
    <n v="11"/>
    <x v="1"/>
    <x v="1"/>
    <n v="117"/>
    <s v="S12_3380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44"/>
    <n v="95.93"/>
    <n v="1"/>
    <x v="308"/>
    <d v="2004-11-24T00:00:00"/>
    <s v="Shipped"/>
    <n v="4"/>
    <n v="11"/>
    <x v="1"/>
    <x v="1"/>
    <n v="117"/>
    <s v="S12_3380"/>
    <s v="Salzburg Collectables"/>
    <s v="6562-9555"/>
    <s v="Geislweg 14"/>
    <m/>
    <s v="Salzburg"/>
    <m/>
    <n v="5020"/>
    <x v="5"/>
    <s v="EMEA"/>
    <s v="Pipps"/>
    <s v="Georg"/>
    <s v="Medium"/>
  </r>
  <r>
    <n v="10363"/>
    <n v="34"/>
    <n v="96.73"/>
    <n v="4"/>
    <x v="309"/>
    <d v="2005-01-06T00:00:00"/>
    <s v="Shipped"/>
    <n v="1"/>
    <n v="1"/>
    <x v="2"/>
    <x v="1"/>
    <n v="117"/>
    <s v="S12_338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6"/>
    <n v="35"/>
    <n v="100"/>
    <n v="1"/>
    <x v="310"/>
    <d v="2005-02-08T00:00:00"/>
    <s v="Shipped"/>
    <n v="1"/>
    <n v="2"/>
    <x v="2"/>
    <x v="1"/>
    <n v="117"/>
    <s v="S12_3380"/>
    <s v="Boards &amp; Toys Co."/>
    <n v="3105552373"/>
    <s v="4097 Douglas Av."/>
    <m/>
    <s v="Glendale"/>
    <s v="CA"/>
    <n v="92561"/>
    <x v="0"/>
    <s v="NA"/>
    <s v="Young"/>
    <s v="Leslie"/>
    <s v="Medium"/>
  </r>
  <r>
    <n v="10389"/>
    <n v="25"/>
    <n v="72.38"/>
    <n v="6"/>
    <x v="311"/>
    <d v="2005-03-03T00:00:00"/>
    <s v="Shipped"/>
    <n v="1"/>
    <n v="3"/>
    <x v="2"/>
    <x v="1"/>
    <n v="117"/>
    <s v="S12_3380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10"/>
    <n v="100"/>
    <n v="11"/>
    <x v="312"/>
    <d v="2005-05-17T00:00:00"/>
    <s v="Shipped"/>
    <n v="2"/>
    <n v="5"/>
    <x v="2"/>
    <x v="1"/>
    <n v="117"/>
    <s v="S12_3380"/>
    <s v="Salzburg Collectables"/>
    <s v="6562-9555"/>
    <s v="Geislweg 14"/>
    <m/>
    <s v="Salzburg"/>
    <m/>
    <n v="5020"/>
    <x v="5"/>
    <s v="EMEA"/>
    <s v="Pipps"/>
    <s v="Georg"/>
    <s v="Small"/>
  </r>
  <r>
    <n v="10105"/>
    <n v="29"/>
    <n v="100"/>
    <n v="14"/>
    <x v="313"/>
    <d v="2003-02-11T00:00:00"/>
    <s v="Shipped"/>
    <n v="1"/>
    <n v="2"/>
    <x v="0"/>
    <x v="1"/>
    <n v="173"/>
    <s v="S12_3891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39"/>
    <n v="100"/>
    <n v="8"/>
    <x v="314"/>
    <d v="2003-04-16T00:00:00"/>
    <s v="Shipped"/>
    <n v="2"/>
    <n v="4"/>
    <x v="0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7"/>
    <n v="42"/>
    <n v="100"/>
    <n v="1"/>
    <x v="315"/>
    <d v="2003-06-03T00:00:00"/>
    <s v="Shipped"/>
    <n v="2"/>
    <n v="6"/>
    <x v="0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2"/>
    <n v="46"/>
    <n v="100"/>
    <n v="11"/>
    <x v="316"/>
    <d v="2003-08-08T00:00:00"/>
    <s v="Shipped"/>
    <n v="3"/>
    <n v="8"/>
    <x v="0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53"/>
    <n v="49"/>
    <n v="100"/>
    <n v="10"/>
    <x v="317"/>
    <d v="2003-09-28T00:00:00"/>
    <s v="Shipped"/>
    <n v="3"/>
    <n v="9"/>
    <x v="0"/>
    <x v="1"/>
    <n v="173"/>
    <s v="S12_3891"/>
    <s v="Euro Shopping Channel"/>
    <s v="(91) 555 94 44"/>
    <s v="C/ Moralzarzal, 86"/>
    <m/>
    <s v="Madrid"/>
    <m/>
    <n v="28034"/>
    <x v="7"/>
    <s v="EMEA"/>
    <s v="Freyre"/>
    <s v="Diego"/>
    <s v="Large"/>
  </r>
  <r>
    <n v="10165"/>
    <n v="27"/>
    <n v="100"/>
    <n v="2"/>
    <x v="318"/>
    <d v="2003-10-22T00:00:00"/>
    <s v="Shipped"/>
    <n v="4"/>
    <n v="10"/>
    <x v="0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50"/>
    <n v="100"/>
    <n v="1"/>
    <x v="319"/>
    <d v="2003-11-06T00:00:00"/>
    <s v="Shipped"/>
    <n v="4"/>
    <n v="11"/>
    <x v="0"/>
    <x v="1"/>
    <n v="173"/>
    <s v="S12_3891"/>
    <s v="L'ordine Souveniers"/>
    <s v="0522-556555"/>
    <s v="Strada Provinciale 124"/>
    <m/>
    <s v="Reggio Emilia"/>
    <m/>
    <n v="42100"/>
    <x v="12"/>
    <s v="EMEA"/>
    <s v="Moroni"/>
    <s v="Maurizio"/>
    <s v="Large"/>
  </r>
  <r>
    <n v="10185"/>
    <n v="43"/>
    <n v="100"/>
    <n v="12"/>
    <x v="320"/>
    <d v="2003-11-14T00:00:00"/>
    <s v="Shipped"/>
    <n v="4"/>
    <n v="11"/>
    <x v="0"/>
    <x v="1"/>
    <n v="173"/>
    <s v="S12_3891"/>
    <s v="Mini Creations Ltd."/>
    <n v="5085559555"/>
    <s v="4575 Hillside Dr."/>
    <m/>
    <s v="New Bedford"/>
    <s v="MA"/>
    <n v="50553"/>
    <x v="0"/>
    <s v="NA"/>
    <s v="Tam"/>
    <s v="Wing C"/>
    <s v="Large"/>
  </r>
  <r>
    <n v="10196"/>
    <n v="38"/>
    <n v="100"/>
    <n v="4"/>
    <x v="321"/>
    <d v="2003-11-26T00:00:00"/>
    <s v="Shipped"/>
    <n v="4"/>
    <n v="11"/>
    <x v="0"/>
    <x v="1"/>
    <n v="173"/>
    <s v="S12_3891"/>
    <s v="Super Scale Inc."/>
    <n v="2035559545"/>
    <s v="567 North Pendale Street"/>
    <m/>
    <s v="New Haven"/>
    <s v="CT"/>
    <n v="97823"/>
    <x v="0"/>
    <s v="NA"/>
    <s v="Murphy"/>
    <s v="Leslie"/>
    <s v="Large"/>
  </r>
  <r>
    <n v="10208"/>
    <n v="20"/>
    <n v="100"/>
    <n v="12"/>
    <x v="322"/>
    <d v="2004-01-02T00:00:00"/>
    <s v="Shipped"/>
    <n v="1"/>
    <n v="1"/>
    <x v="1"/>
    <x v="1"/>
    <n v="173"/>
    <s v="S12_3891"/>
    <s v="Saveley &amp; Henriot, Co."/>
    <s v="78.32.5555"/>
    <s v="2, rue du Commerce"/>
    <m/>
    <s v="Lyon"/>
    <m/>
    <n v="69004"/>
    <x v="1"/>
    <s v="EMEA"/>
    <s v="Saveley"/>
    <s v="Mary"/>
    <s v="Medium"/>
  </r>
  <r>
    <n v="10220"/>
    <n v="27"/>
    <n v="100"/>
    <n v="1"/>
    <x v="323"/>
    <d v="2004-02-12T00:00:00"/>
    <s v="Shipped"/>
    <n v="1"/>
    <n v="2"/>
    <x v="1"/>
    <x v="1"/>
    <n v="173"/>
    <s v="S12_3891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1"/>
    <n v="49"/>
    <n v="100"/>
    <n v="1"/>
    <x v="324"/>
    <d v="2004-03-19T00:00:00"/>
    <s v="Shipped"/>
    <n v="1"/>
    <n v="3"/>
    <x v="1"/>
    <x v="1"/>
    <n v="173"/>
    <s v="S12_389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247"/>
    <n v="27"/>
    <n v="100"/>
    <n v="1"/>
    <x v="325"/>
    <d v="2004-05-05T00:00:00"/>
    <s v="Shipped"/>
    <n v="2"/>
    <n v="5"/>
    <x v="1"/>
    <x v="1"/>
    <n v="173"/>
    <s v="S12_3891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39"/>
    <n v="100"/>
    <n v="1"/>
    <x v="326"/>
    <d v="2004-07-20T00:00:00"/>
    <s v="Shipped"/>
    <n v="3"/>
    <n v="7"/>
    <x v="1"/>
    <x v="1"/>
    <n v="173"/>
    <s v="S12_3891"/>
    <s v="Diecast Classics Inc."/>
    <n v="2155551555"/>
    <s v="7586 Pompton St."/>
    <m/>
    <s v="Allentown"/>
    <s v="PA"/>
    <n v="70267"/>
    <x v="0"/>
    <s v="NA"/>
    <s v="Yu"/>
    <s v="Kyung"/>
    <s v="Large"/>
  </r>
  <r>
    <n v="10282"/>
    <n v="24"/>
    <n v="100"/>
    <n v="4"/>
    <x v="327"/>
    <d v="2004-08-20T00:00:00"/>
    <s v="Shipped"/>
    <n v="3"/>
    <n v="8"/>
    <x v="1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45"/>
    <n v="100"/>
    <n v="7"/>
    <x v="328"/>
    <d v="2004-09-09T00:00:00"/>
    <s v="Shipped"/>
    <n v="3"/>
    <n v="9"/>
    <x v="1"/>
    <x v="1"/>
    <n v="173"/>
    <s v="S12_3891"/>
    <s v="Amica Models &amp; Co."/>
    <s v="011-4988555"/>
    <s v="Via Monte Bianco 34"/>
    <m/>
    <s v="Torino"/>
    <m/>
    <n v="10100"/>
    <x v="12"/>
    <s v="EMEA"/>
    <s v="Accorti"/>
    <s v="Paolo"/>
    <s v="Large"/>
  </r>
  <r>
    <n v="10306"/>
    <n v="20"/>
    <n v="100"/>
    <n v="12"/>
    <x v="329"/>
    <d v="2004-10-14T00:00:00"/>
    <s v="Shipped"/>
    <n v="4"/>
    <n v="10"/>
    <x v="1"/>
    <x v="1"/>
    <n v="173"/>
    <s v="S12_3891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36"/>
    <n v="100"/>
    <n v="4"/>
    <x v="330"/>
    <d v="2004-10-22T00:00:00"/>
    <s v="Shipped"/>
    <n v="4"/>
    <n v="10"/>
    <x v="1"/>
    <x v="1"/>
    <n v="173"/>
    <s v="S12_3891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24"/>
    <n v="100"/>
    <n v="1"/>
    <x v="331"/>
    <d v="2004-11-05T00:00:00"/>
    <s v="Shipped"/>
    <n v="4"/>
    <n v="11"/>
    <x v="1"/>
    <x v="1"/>
    <n v="173"/>
    <s v="S12_3891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49"/>
    <n v="63.38"/>
    <n v="1"/>
    <x v="332"/>
    <d v="2004-11-20T00:00:00"/>
    <s v="Shipped"/>
    <n v="4"/>
    <n v="11"/>
    <x v="1"/>
    <x v="1"/>
    <n v="173"/>
    <s v="S12_3891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26"/>
    <n v="100"/>
    <n v="10"/>
    <x v="333"/>
    <d v="2004-12-01T00:00:00"/>
    <s v="Shipped"/>
    <n v="4"/>
    <n v="12"/>
    <x v="1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49"/>
    <n v="62.09"/>
    <n v="5"/>
    <x v="334"/>
    <d v="2004-12-15T00:00:00"/>
    <s v="Shipped"/>
    <n v="4"/>
    <n v="12"/>
    <x v="1"/>
    <x v="1"/>
    <n v="173"/>
    <s v="S12_3891"/>
    <s v="Reims Collectables"/>
    <s v="26.47.1555"/>
    <s v="59 rue de l'Abbaye"/>
    <m/>
    <s v="Reims"/>
    <m/>
    <n v="51100"/>
    <x v="1"/>
    <s v="EMEA"/>
    <s v="Henriot"/>
    <s v="Paul"/>
    <s v="Medium"/>
  </r>
  <r>
    <n v="10372"/>
    <n v="34"/>
    <n v="100"/>
    <n v="1"/>
    <x v="335"/>
    <d v="2005-01-26T00:00:00"/>
    <s v="Shipped"/>
    <n v="1"/>
    <n v="1"/>
    <x v="2"/>
    <x v="1"/>
    <n v="173"/>
    <s v="S12_389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2"/>
    <n v="34"/>
    <n v="95.35"/>
    <n v="12"/>
    <x v="336"/>
    <d v="2005-02-17T00:00:00"/>
    <s v="Shipped"/>
    <n v="1"/>
    <n v="2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6"/>
    <n v="33"/>
    <n v="100"/>
    <n v="3"/>
    <x v="337"/>
    <d v="2005-03-23T00:00:00"/>
    <s v="Shipped"/>
    <n v="1"/>
    <n v="3"/>
    <x v="2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3"/>
    <n v="22"/>
    <n v="100"/>
    <n v="1"/>
    <x v="338"/>
    <d v="2005-05-05T00:00:00"/>
    <s v="Shipped"/>
    <n v="2"/>
    <n v="5"/>
    <x v="2"/>
    <x v="1"/>
    <n v="173"/>
    <s v="S12_3891"/>
    <s v="Gift Depot Inc."/>
    <n v="2035552570"/>
    <s v="25593 South Bay Ln."/>
    <m/>
    <s v="Bridgewater"/>
    <s v="CT"/>
    <n v="97562"/>
    <x v="0"/>
    <s v="NA"/>
    <s v="King"/>
    <s v="Julie"/>
    <s v="Medium"/>
  </r>
  <r>
    <n v="10108"/>
    <n v="39"/>
    <n v="89.38"/>
    <n v="7"/>
    <x v="339"/>
    <d v="2003-03-03T00:00:00"/>
    <s v="Shipped"/>
    <n v="1"/>
    <n v="3"/>
    <x v="0"/>
    <x v="1"/>
    <n v="79"/>
    <s v="S12_399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32"/>
    <n v="63.84"/>
    <n v="11"/>
    <x v="340"/>
    <d v="2003-05-08T00:00:00"/>
    <s v="Shipped"/>
    <n v="2"/>
    <n v="5"/>
    <x v="0"/>
    <x v="1"/>
    <n v="79"/>
    <s v="S12_3990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4"/>
    <n v="75.010000000000005"/>
    <n v="8"/>
    <x v="341"/>
    <d v="2003-07-02T00:00:00"/>
    <s v="Shipped"/>
    <n v="3"/>
    <n v="7"/>
    <x v="0"/>
    <x v="1"/>
    <n v="79"/>
    <s v="S12_399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21"/>
    <n v="63.84"/>
    <n v="8"/>
    <x v="342"/>
    <d v="2003-09-05T00:00:00"/>
    <s v="Shipped"/>
    <n v="3"/>
    <n v="9"/>
    <x v="0"/>
    <x v="1"/>
    <n v="79"/>
    <s v="S12_3990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24"/>
    <n v="73.42"/>
    <n v="3"/>
    <x v="343"/>
    <d v="2003-10-10T00:00:00"/>
    <s v="Shipped"/>
    <n v="4"/>
    <n v="10"/>
    <x v="0"/>
    <x v="1"/>
    <n v="79"/>
    <s v="S12_399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6"/>
    <n v="63.84"/>
    <n v="3"/>
    <x v="344"/>
    <d v="2003-11-04T00:00:00"/>
    <s v="Shipped"/>
    <n v="4"/>
    <n v="11"/>
    <x v="0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0"/>
    <n v="81.400000000000006"/>
    <n v="15"/>
    <x v="345"/>
    <d v="2003-11-12T00:00:00"/>
    <s v="Shipped"/>
    <n v="4"/>
    <n v="11"/>
    <x v="0"/>
    <x v="1"/>
    <n v="79"/>
    <s v="S12_3990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30"/>
    <n v="64.64"/>
    <n v="4"/>
    <x v="346"/>
    <d v="2003-11-20T00:00:00"/>
    <s v="Shipped"/>
    <n v="4"/>
    <n v="11"/>
    <x v="0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s v="Small"/>
  </r>
  <r>
    <n v="10203"/>
    <n v="44"/>
    <n v="82.99"/>
    <n v="9"/>
    <x v="347"/>
    <d v="2003-12-02T00:00:00"/>
    <s v="Shipped"/>
    <n v="4"/>
    <n v="12"/>
    <x v="0"/>
    <x v="1"/>
    <n v="79"/>
    <s v="S12_3990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8"/>
    <n v="92.57"/>
    <n v="3"/>
    <x v="348"/>
    <d v="2004-01-15T00:00:00"/>
    <s v="Shipped"/>
    <n v="1"/>
    <n v="1"/>
    <x v="1"/>
    <x v="1"/>
    <n v="79"/>
    <s v="S12_3990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37"/>
    <n v="77.41"/>
    <n v="10"/>
    <x v="349"/>
    <d v="2004-02-22T00:00:00"/>
    <s v="Shipped"/>
    <n v="1"/>
    <n v="2"/>
    <x v="1"/>
    <x v="1"/>
    <n v="79"/>
    <s v="S12_3990"/>
    <s v="Vida Sport, Ltd"/>
    <s v="0897-034555"/>
    <s v="Grenzacherweg 237"/>
    <m/>
    <s v="Gensve"/>
    <m/>
    <n v="1203"/>
    <x v="17"/>
    <s v="EMEA"/>
    <s v="Holz"/>
    <s v="Michael"/>
    <s v="Small"/>
  </r>
  <r>
    <n v="10238"/>
    <n v="20"/>
    <n v="74.209999999999994"/>
    <n v="4"/>
    <x v="350"/>
    <d v="2004-04-09T00:00:00"/>
    <s v="Shipped"/>
    <n v="2"/>
    <n v="4"/>
    <x v="1"/>
    <x v="1"/>
    <n v="79"/>
    <s v="S12_3990"/>
    <s v="Danish Wholesale Imports"/>
    <s v="31 12 3555"/>
    <s v="Vinb'ltet 34"/>
    <m/>
    <s v="Kobenhavn"/>
    <m/>
    <n v="1734"/>
    <x v="13"/>
    <s v="EMEA"/>
    <s v="Petersen"/>
    <s v="Jytte"/>
    <s v="Small"/>
  </r>
  <r>
    <n v="10253"/>
    <n v="25"/>
    <n v="90.17"/>
    <n v="14"/>
    <x v="351"/>
    <d v="2004-06-01T00:00:00"/>
    <s v="Cancelled"/>
    <n v="2"/>
    <n v="6"/>
    <x v="1"/>
    <x v="1"/>
    <n v="79"/>
    <s v="S12_399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5"/>
    <n v="76.61"/>
    <n v="15"/>
    <x v="352"/>
    <d v="2004-07-06T00:00:00"/>
    <s v="Shipped"/>
    <n v="3"/>
    <n v="7"/>
    <x v="1"/>
    <x v="1"/>
    <n v="79"/>
    <s v="S12_399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38"/>
    <n v="83.79"/>
    <n v="4"/>
    <x v="353"/>
    <d v="2004-08-02T00:00:00"/>
    <s v="Shipped"/>
    <n v="3"/>
    <n v="8"/>
    <x v="1"/>
    <x v="1"/>
    <n v="79"/>
    <s v="S12_399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1"/>
    <n v="69.430000000000007"/>
    <n v="13"/>
    <x v="354"/>
    <d v="2004-08-30T00:00:00"/>
    <s v="Shipped"/>
    <n v="3"/>
    <n v="8"/>
    <x v="1"/>
    <x v="1"/>
    <n v="79"/>
    <s v="S12_3990"/>
    <s v="Vida Sport, Ltd"/>
    <s v="0897-034555"/>
    <s v="Grenzacherweg 237"/>
    <m/>
    <s v="Gensve"/>
    <m/>
    <n v="1203"/>
    <x v="17"/>
    <s v="EMEA"/>
    <s v="Holz"/>
    <s v="Michael"/>
    <s v="Small"/>
  </r>
  <r>
    <n v="10300"/>
    <n v="22"/>
    <n v="76.61"/>
    <n v="6"/>
    <x v="355"/>
    <d v="2003-10-04T00:00:00"/>
    <s v="Shipped"/>
    <n v="4"/>
    <n v="10"/>
    <x v="0"/>
    <x v="1"/>
    <n v="79"/>
    <s v="S12_3990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49"/>
    <n v="81.400000000000006"/>
    <n v="11"/>
    <x v="356"/>
    <d v="2004-10-16T00:00:00"/>
    <s v="Shipped"/>
    <n v="4"/>
    <n v="10"/>
    <x v="1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38"/>
    <n v="73.42"/>
    <n v="4"/>
    <x v="357"/>
    <d v="2004-11-03T00:00:00"/>
    <s v="Shipped"/>
    <n v="4"/>
    <n v="11"/>
    <x v="1"/>
    <x v="1"/>
    <n v="79"/>
    <s v="S12_3990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29"/>
    <n v="33"/>
    <n v="100"/>
    <n v="14"/>
    <x v="358"/>
    <d v="2004-11-15T00:00:00"/>
    <s v="Shipped"/>
    <n v="4"/>
    <n v="11"/>
    <x v="1"/>
    <x v="1"/>
    <n v="79"/>
    <s v="S12_3990"/>
    <s v="Land of Toys Inc."/>
    <n v="2125557818"/>
    <s v="897 Long Airport Avenue"/>
    <m/>
    <s v="NYC"/>
    <s v="NY"/>
    <n v="10022"/>
    <x v="0"/>
    <s v="NA"/>
    <s v="Yu"/>
    <s v="Kwai"/>
    <s v="Medium"/>
  </r>
  <r>
    <n v="10341"/>
    <n v="36"/>
    <n v="93.56"/>
    <n v="10"/>
    <x v="359"/>
    <d v="2004-11-24T00:00:00"/>
    <s v="Shipped"/>
    <n v="4"/>
    <n v="11"/>
    <x v="1"/>
    <x v="1"/>
    <n v="79"/>
    <s v="S12_3990"/>
    <s v="Salzburg Collectables"/>
    <s v="6562-9555"/>
    <s v="Geislweg 14"/>
    <m/>
    <s v="Salzburg"/>
    <m/>
    <n v="5020"/>
    <x v="5"/>
    <s v="EMEA"/>
    <s v="Pipps"/>
    <s v="Georg"/>
    <s v="Medium"/>
  </r>
  <r>
    <n v="10363"/>
    <n v="34"/>
    <n v="81.62"/>
    <n v="5"/>
    <x v="360"/>
    <d v="2005-01-06T00:00:00"/>
    <s v="Shipped"/>
    <n v="1"/>
    <n v="1"/>
    <x v="2"/>
    <x v="1"/>
    <n v="79"/>
    <s v="S12_3990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7"/>
    <n v="24"/>
    <n v="67.83"/>
    <n v="5"/>
    <x v="361"/>
    <d v="2005-02-09T00:00:00"/>
    <s v="Shipped"/>
    <n v="1"/>
    <n v="2"/>
    <x v="2"/>
    <x v="1"/>
    <n v="79"/>
    <s v="S12_3990"/>
    <s v="Toys of Finland, Co."/>
    <s v="90-224 8555"/>
    <s v="Keskuskatu 45"/>
    <m/>
    <s v="Helsinki"/>
    <m/>
    <n v="21240"/>
    <x v="4"/>
    <s v="EMEA"/>
    <s v="Karttunen"/>
    <s v="Matti"/>
    <s v="Small"/>
  </r>
  <r>
    <n v="10389"/>
    <n v="36"/>
    <n v="70.260000000000005"/>
    <n v="7"/>
    <x v="362"/>
    <d v="2005-03-03T00:00:00"/>
    <s v="Shipped"/>
    <n v="1"/>
    <n v="3"/>
    <x v="2"/>
    <x v="1"/>
    <n v="79"/>
    <s v="S12_3990"/>
    <s v="Scandinavian Gift Ideas"/>
    <s v="0695-34 6555"/>
    <s v="?kergatan 24"/>
    <m/>
    <s v="Boras"/>
    <m/>
    <s v="S-844 67"/>
    <x v="8"/>
    <s v="EMEA"/>
    <s v="Larsson"/>
    <s v="Maria"/>
    <s v="Small"/>
  </r>
  <r>
    <n v="10419"/>
    <n v="34"/>
    <n v="90.17"/>
    <n v="14"/>
    <x v="363"/>
    <d v="2005-05-17T00:00:00"/>
    <s v="Shipped"/>
    <n v="2"/>
    <n v="5"/>
    <x v="2"/>
    <x v="1"/>
    <n v="79"/>
    <s v="S12_3990"/>
    <s v="Salzburg Collectables"/>
    <s v="6562-9555"/>
    <s v="Geislweg 14"/>
    <m/>
    <s v="Salzburg"/>
    <m/>
    <n v="5020"/>
    <x v="5"/>
    <s v="EMEA"/>
    <s v="Pipps"/>
    <s v="Georg"/>
    <s v="Medium"/>
  </r>
  <r>
    <n v="10104"/>
    <n v="41"/>
    <n v="100"/>
    <n v="9"/>
    <x v="364"/>
    <d v="2003-01-31T00:00:00"/>
    <s v="Shipped"/>
    <n v="1"/>
    <n v="1"/>
    <x v="0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5"/>
    <x v="365"/>
    <d v="2003-04-04T00:00:00"/>
    <s v="Shipped"/>
    <n v="2"/>
    <n v="4"/>
    <x v="0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4"/>
    <n v="100"/>
    <n v="11"/>
    <x v="366"/>
    <d v="2003-06-03T00:00:00"/>
    <s v="Shipped"/>
    <n v="2"/>
    <n v="6"/>
    <x v="0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100"/>
    <n v="5"/>
    <x v="367"/>
    <d v="2003-08-01T00:00:00"/>
    <s v="Shipped"/>
    <n v="3"/>
    <n v="8"/>
    <x v="0"/>
    <x v="2"/>
    <n v="118"/>
    <s v="S12_4473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24"/>
    <n v="100"/>
    <n v="3"/>
    <x v="368"/>
    <d v="2003-09-21T00:00:00"/>
    <s v="Shipped"/>
    <n v="3"/>
    <n v="9"/>
    <x v="0"/>
    <x v="2"/>
    <n v="118"/>
    <s v="S12_4473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8"/>
    <n v="100"/>
    <n v="12"/>
    <x v="369"/>
    <d v="2003-10-22T00:00:00"/>
    <s v="Shipped"/>
    <n v="4"/>
    <n v="10"/>
    <x v="0"/>
    <x v="2"/>
    <n v="118"/>
    <s v="S12_4473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26"/>
    <n v="100"/>
    <n v="1"/>
    <x v="370"/>
    <d v="2003-11-06T00:00:00"/>
    <s v="Shipped"/>
    <n v="4"/>
    <n v="11"/>
    <x v="0"/>
    <x v="2"/>
    <n v="118"/>
    <s v="S12_4473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37"/>
    <n v="100"/>
    <n v="6"/>
    <x v="371"/>
    <d v="2003-11-14T00:00:00"/>
    <s v="Shipped"/>
    <n v="4"/>
    <n v="11"/>
    <x v="0"/>
    <x v="2"/>
    <n v="118"/>
    <s v="S12_4473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6"/>
    <x v="372"/>
    <d v="2003-11-25T00:00:00"/>
    <s v="Shipped"/>
    <n v="4"/>
    <n v="11"/>
    <x v="0"/>
    <x v="2"/>
    <n v="118"/>
    <s v="S12_4473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34"/>
    <n v="99.54"/>
    <n v="7"/>
    <x v="373"/>
    <d v="2003-12-09T00:00:00"/>
    <s v="Shipped"/>
    <n v="4"/>
    <n v="12"/>
    <x v="0"/>
    <x v="2"/>
    <n v="118"/>
    <s v="S12_4473"/>
    <s v="Diecast Collectables"/>
    <n v="6175552555"/>
    <s v="6251 Ingle Ln."/>
    <m/>
    <s v="Boston"/>
    <s v="MA"/>
    <n v="51003"/>
    <x v="0"/>
    <s v="NA"/>
    <s v="Franco"/>
    <s v="Valarie"/>
    <s v="Medium"/>
  </r>
  <r>
    <n v="10219"/>
    <n v="48"/>
    <n v="100"/>
    <n v="2"/>
    <x v="374"/>
    <d v="2004-02-10T00:00:00"/>
    <s v="Shipped"/>
    <n v="1"/>
    <n v="2"/>
    <x v="1"/>
    <x v="2"/>
    <n v="118"/>
    <s v="S12_4473"/>
    <s v="Signal Collectibles Ltd."/>
    <n v="4155554312"/>
    <s v="2793 Furth Circle"/>
    <m/>
    <s v="Brisbane"/>
    <s v="CA"/>
    <n v="94217"/>
    <x v="0"/>
    <s v="NA"/>
    <s v="Taylor"/>
    <s v="Sue"/>
    <s v="Medium"/>
  </r>
  <r>
    <n v="10229"/>
    <n v="36"/>
    <n v="100"/>
    <n v="1"/>
    <x v="375"/>
    <d v="2004-03-11T00:00:00"/>
    <s v="Shipped"/>
    <n v="1"/>
    <n v="3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46"/>
    <n v="100"/>
    <n v="5"/>
    <x v="376"/>
    <d v="2004-05-05T00:00:00"/>
    <s v="Shipped"/>
    <n v="2"/>
    <n v="5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46"/>
    <n v="100"/>
    <n v="4"/>
    <x v="377"/>
    <d v="2004-06-15T00:00:00"/>
    <s v="Shipped"/>
    <n v="2"/>
    <n v="6"/>
    <x v="1"/>
    <x v="2"/>
    <n v="118"/>
    <s v="S12_4473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1"/>
    <n v="97.17"/>
    <n v="5"/>
    <x v="378"/>
    <d v="2004-07-20T00:00:00"/>
    <s v="Shipped"/>
    <n v="3"/>
    <n v="7"/>
    <x v="1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41"/>
    <n v="100"/>
    <n v="1"/>
    <x v="379"/>
    <d v="2004-08-19T00:00:00"/>
    <s v="Shipped"/>
    <n v="3"/>
    <n v="8"/>
    <x v="1"/>
    <x v="2"/>
    <n v="118"/>
    <s v="S12_4473"/>
    <s v="Diecast Classics Inc."/>
    <n v="2155551555"/>
    <s v="7586 Pompton St."/>
    <m/>
    <s v="Allentown"/>
    <s v="PA"/>
    <n v="70267"/>
    <x v="0"/>
    <s v="NA"/>
    <s v="Yu"/>
    <s v="Kyung"/>
    <s v="Medium"/>
  </r>
  <r>
    <n v="10292"/>
    <n v="21"/>
    <n v="100"/>
    <n v="8"/>
    <x v="380"/>
    <d v="2004-09-08T00:00:00"/>
    <s v="Shipped"/>
    <n v="3"/>
    <n v="9"/>
    <x v="1"/>
    <x v="2"/>
    <n v="118"/>
    <s v="S12_4473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38"/>
    <n v="100"/>
    <n v="5"/>
    <x v="381"/>
    <d v="2004-10-13T00:00:00"/>
    <s v="Shipped"/>
    <n v="4"/>
    <n v="10"/>
    <x v="1"/>
    <x v="2"/>
    <n v="118"/>
    <s v="S12_447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45"/>
    <n v="100"/>
    <n v="14"/>
    <x v="382"/>
    <d v="2004-10-22T00:00:00"/>
    <s v="Shipped"/>
    <n v="4"/>
    <n v="10"/>
    <x v="1"/>
    <x v="2"/>
    <n v="118"/>
    <s v="S12_4473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26"/>
    <n v="58.38"/>
    <n v="7"/>
    <x v="383"/>
    <d v="2004-11-05T00:00:00"/>
    <s v="Shipped"/>
    <n v="4"/>
    <n v="11"/>
    <x v="1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38"/>
    <n v="100"/>
    <n v="3"/>
    <x v="384"/>
    <d v="2004-11-20T00:00:00"/>
    <s v="Shipped"/>
    <n v="4"/>
    <n v="11"/>
    <x v="1"/>
    <x v="2"/>
    <n v="118"/>
    <s v="S12_4473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48"/>
    <n v="100"/>
    <n v="9"/>
    <x v="385"/>
    <d v="2004-12-01T00:00:00"/>
    <s v="Shipped"/>
    <n v="4"/>
    <n v="12"/>
    <x v="1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42"/>
    <n v="64.16"/>
    <n v="9"/>
    <x v="386"/>
    <d v="2004-12-10T00:00:00"/>
    <s v="Shipped"/>
    <n v="4"/>
    <n v="12"/>
    <x v="1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49"/>
    <n v="35.71"/>
    <n v="4"/>
    <x v="387"/>
    <d v="2005-01-23T00:00:00"/>
    <s v="Shipped"/>
    <n v="1"/>
    <n v="1"/>
    <x v="2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2"/>
    <n v="32"/>
    <n v="66.58"/>
    <n v="13"/>
    <x v="388"/>
    <d v="2005-02-17T00:00:00"/>
    <s v="Shipped"/>
    <n v="1"/>
    <n v="2"/>
    <x v="2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54"/>
    <n v="100"/>
    <n v="5"/>
    <x v="389"/>
    <d v="2005-05-03T00:00:00"/>
    <s v="Shipped"/>
    <n v="2"/>
    <n v="5"/>
    <x v="2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33"/>
    <n v="100"/>
    <n v="4"/>
    <x v="390"/>
    <d v="2005-05-31T00:00:00"/>
    <s v="In Process"/>
    <n v="2"/>
    <n v="5"/>
    <x v="2"/>
    <x v="2"/>
    <n v="118"/>
    <s v="S12_4473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6"/>
    <n v="100"/>
    <n v="3"/>
    <x v="391"/>
    <d v="2003-03-03T00:00:00"/>
    <s v="Shipped"/>
    <n v="1"/>
    <n v="3"/>
    <x v="0"/>
    <x v="1"/>
    <n v="115"/>
    <s v="S12_4675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0"/>
    <n v="100"/>
    <n v="7"/>
    <x v="392"/>
    <d v="2003-05-08T00:00:00"/>
    <s v="Shipped"/>
    <n v="2"/>
    <n v="5"/>
    <x v="0"/>
    <x v="1"/>
    <n v="115"/>
    <s v="S12_4675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9"/>
    <n v="97.89"/>
    <n v="4"/>
    <x v="393"/>
    <d v="2003-07-02T00:00:00"/>
    <s v="Shipped"/>
    <n v="3"/>
    <n v="7"/>
    <x v="0"/>
    <x v="1"/>
    <n v="115"/>
    <s v="S12_467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3"/>
    <n v="97.89"/>
    <n v="4"/>
    <x v="394"/>
    <d v="2003-09-05T00:00:00"/>
    <s v="Shipped"/>
    <n v="3"/>
    <n v="9"/>
    <x v="0"/>
    <x v="1"/>
    <n v="115"/>
    <s v="S12_4675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60"/>
    <n v="50"/>
    <n v="100"/>
    <n v="5"/>
    <x v="395"/>
    <d v="2003-10-11T00:00:00"/>
    <s v="Shipped"/>
    <n v="4"/>
    <n v="10"/>
    <x v="0"/>
    <x v="1"/>
    <n v="115"/>
    <s v="S12_4675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41"/>
    <n v="100"/>
    <n v="3"/>
    <x v="396"/>
    <d v="2003-11-04T00:00:00"/>
    <s v="Shipped"/>
    <n v="4"/>
    <n v="11"/>
    <x v="0"/>
    <x v="1"/>
    <n v="115"/>
    <s v="S12_4675"/>
    <s v="Mini Auto Werke"/>
    <s v="7675-3555"/>
    <s v="Kirchgasse 6"/>
    <m/>
    <s v="Graz"/>
    <m/>
    <n v="8010"/>
    <x v="5"/>
    <s v="EMEA"/>
    <s v="Mendel"/>
    <s v="Roland"/>
    <s v="Medium"/>
  </r>
  <r>
    <n v="10181"/>
    <n v="36"/>
    <n v="100"/>
    <n v="11"/>
    <x v="397"/>
    <d v="2003-11-12T00:00:00"/>
    <s v="Shipped"/>
    <n v="4"/>
    <n v="11"/>
    <x v="0"/>
    <x v="1"/>
    <n v="115"/>
    <s v="S12_4675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7"/>
    <n v="100"/>
    <n v="16"/>
    <x v="398"/>
    <d v="2003-11-20T00:00:00"/>
    <s v="Shipped"/>
    <n v="4"/>
    <n v="11"/>
    <x v="0"/>
    <x v="1"/>
    <n v="115"/>
    <s v="S12_467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5"/>
    <x v="399"/>
    <d v="2003-12-02T00:00:00"/>
    <s v="Shipped"/>
    <n v="4"/>
    <n v="12"/>
    <x v="0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33"/>
    <n v="100"/>
    <n v="15"/>
    <x v="400"/>
    <d v="2004-01-16T00:00:00"/>
    <s v="Shipped"/>
    <n v="1"/>
    <n v="1"/>
    <x v="1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21"/>
    <n v="100"/>
    <n v="6"/>
    <x v="401"/>
    <d v="2004-02-22T00:00:00"/>
    <s v="Shipped"/>
    <n v="1"/>
    <n v="2"/>
    <x v="1"/>
    <x v="1"/>
    <n v="115"/>
    <s v="S12_4675"/>
    <s v="Vida Sport, Ltd"/>
    <s v="0897-034555"/>
    <s v="Grenzacherweg 237"/>
    <m/>
    <s v="Gensve"/>
    <m/>
    <n v="1203"/>
    <x v="17"/>
    <s v="EMEA"/>
    <s v="Holz"/>
    <s v="Michael"/>
    <s v="Small"/>
  </r>
  <r>
    <n v="10239"/>
    <n v="21"/>
    <n v="93.28"/>
    <n v="5"/>
    <x v="402"/>
    <d v="2004-04-12T00:00:00"/>
    <s v="Shipped"/>
    <n v="2"/>
    <n v="4"/>
    <x v="1"/>
    <x v="1"/>
    <n v="115"/>
    <s v="S12_4675"/>
    <s v="Oulu Toy Supplies, Inc."/>
    <s v="981-443655"/>
    <s v="Torikatu 38"/>
    <m/>
    <s v="Oulu"/>
    <m/>
    <n v="90110"/>
    <x v="4"/>
    <s v="EMEA"/>
    <s v="Koskitalo"/>
    <s v="Pirkko"/>
    <s v="Small"/>
  </r>
  <r>
    <n v="10253"/>
    <n v="41"/>
    <n v="100"/>
    <n v="10"/>
    <x v="403"/>
    <d v="2004-06-01T00:00:00"/>
    <s v="Cancelled"/>
    <n v="2"/>
    <n v="6"/>
    <x v="1"/>
    <x v="1"/>
    <n v="115"/>
    <s v="S12_467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0"/>
    <n v="100"/>
    <n v="11"/>
    <x v="404"/>
    <d v="2004-07-06T00:00:00"/>
    <s v="Shipped"/>
    <n v="3"/>
    <n v="7"/>
    <x v="1"/>
    <x v="1"/>
    <n v="115"/>
    <s v="S12_467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7"/>
    <n v="28"/>
    <n v="100"/>
    <n v="1"/>
    <x v="405"/>
    <d v="2004-08-04T00:00:00"/>
    <s v="Shipped"/>
    <n v="3"/>
    <n v="8"/>
    <x v="1"/>
    <x v="1"/>
    <n v="115"/>
    <s v="S12_4675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287"/>
    <n v="23"/>
    <n v="100"/>
    <n v="9"/>
    <x v="406"/>
    <d v="2004-08-30T00:00:00"/>
    <s v="Shipped"/>
    <n v="3"/>
    <n v="8"/>
    <x v="1"/>
    <x v="1"/>
    <n v="115"/>
    <s v="S12_4675"/>
    <s v="Vida Sport, Ltd"/>
    <s v="0897-034555"/>
    <s v="Grenzacherweg 237"/>
    <m/>
    <s v="Gensve"/>
    <m/>
    <n v="1203"/>
    <x v="17"/>
    <s v="EMEA"/>
    <s v="Holz"/>
    <s v="Michael"/>
    <s v="Small"/>
  </r>
  <r>
    <n v="10300"/>
    <n v="23"/>
    <n v="100"/>
    <n v="2"/>
    <x v="407"/>
    <d v="2003-10-04T00:00:00"/>
    <s v="Shipped"/>
    <n v="4"/>
    <n v="10"/>
    <x v="0"/>
    <x v="1"/>
    <n v="115"/>
    <s v="S12_4675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25"/>
    <n v="100"/>
    <n v="7"/>
    <x v="408"/>
    <d v="2004-10-16T00:00:00"/>
    <s v="Shipped"/>
    <n v="4"/>
    <n v="10"/>
    <x v="1"/>
    <x v="1"/>
    <n v="115"/>
    <s v="S12_4675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24"/>
    <n v="100"/>
    <n v="15"/>
    <x v="409"/>
    <d v="2004-11-04T00:00:00"/>
    <s v="Shipped"/>
    <n v="4"/>
    <n v="11"/>
    <x v="1"/>
    <x v="1"/>
    <n v="115"/>
    <s v="S12_4675"/>
    <s v="FunGiftIdeas.com"/>
    <n v="5085552555"/>
    <s v="1785 First Street"/>
    <m/>
    <s v="New Bedford"/>
    <s v="MA"/>
    <n v="50553"/>
    <x v="0"/>
    <s v="NA"/>
    <s v="Benitez"/>
    <s v="Violeta"/>
    <s v="Small"/>
  </r>
  <r>
    <n v="10329"/>
    <n v="39"/>
    <n v="64.739999999999995"/>
    <n v="15"/>
    <x v="410"/>
    <d v="2004-11-15T00:00:00"/>
    <s v="Shipped"/>
    <n v="4"/>
    <n v="11"/>
    <x v="1"/>
    <x v="1"/>
    <n v="115"/>
    <s v="S12_4675"/>
    <s v="Land of Toys Inc."/>
    <n v="2125557818"/>
    <s v="897 Long Airport Avenue"/>
    <m/>
    <s v="NYC"/>
    <s v="NY"/>
    <n v="10022"/>
    <x v="0"/>
    <s v="NA"/>
    <s v="Yu"/>
    <s v="Kwai"/>
    <s v="Small"/>
  </r>
  <r>
    <n v="10341"/>
    <n v="55"/>
    <n v="75.2"/>
    <n v="7"/>
    <x v="411"/>
    <d v="2004-11-24T00:00:00"/>
    <s v="Shipped"/>
    <n v="4"/>
    <n v="11"/>
    <x v="1"/>
    <x v="1"/>
    <n v="115"/>
    <s v="S12_4675"/>
    <s v="Salzburg Collectables"/>
    <s v="6562-9555"/>
    <s v="Geislweg 14"/>
    <m/>
    <s v="Salzburg"/>
    <m/>
    <n v="5020"/>
    <x v="5"/>
    <s v="EMEA"/>
    <s v="Pipps"/>
    <s v="Georg"/>
    <s v="Medium"/>
  </r>
  <r>
    <n v="10363"/>
    <n v="46"/>
    <n v="88.45"/>
    <n v="6"/>
    <x v="412"/>
    <d v="2005-01-06T00:00:00"/>
    <s v="Shipped"/>
    <n v="1"/>
    <n v="1"/>
    <x v="2"/>
    <x v="1"/>
    <n v="115"/>
    <s v="S12_4675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7"/>
    <n v="50"/>
    <n v="100"/>
    <n v="1"/>
    <x v="395"/>
    <d v="2005-02-09T00:00:00"/>
    <s v="Shipped"/>
    <n v="1"/>
    <n v="2"/>
    <x v="2"/>
    <x v="1"/>
    <n v="115"/>
    <s v="S12_4675"/>
    <s v="Toys of Finland, Co."/>
    <s v="90-224 8555"/>
    <s v="Keskuskatu 45"/>
    <m/>
    <s v="Helsinki"/>
    <m/>
    <n v="21240"/>
    <x v="4"/>
    <s v="EMEA"/>
    <s v="Karttunen"/>
    <s v="Matti"/>
    <s v="Medium"/>
  </r>
  <r>
    <n v="10389"/>
    <n v="47"/>
    <n v="100"/>
    <n v="8"/>
    <x v="413"/>
    <d v="2005-03-03T00:00:00"/>
    <s v="Shipped"/>
    <n v="1"/>
    <n v="3"/>
    <x v="2"/>
    <x v="1"/>
    <n v="115"/>
    <s v="S12_4675"/>
    <s v="Scandinavian Gift Ideas"/>
    <s v="0695-34 6555"/>
    <s v="?kergatan 24"/>
    <m/>
    <s v="Boras"/>
    <m/>
    <s v="S-844 67"/>
    <x v="8"/>
    <s v="EMEA"/>
    <s v="Larsson"/>
    <s v="Maria"/>
    <s v="Medium"/>
  </r>
  <r>
    <n v="10405"/>
    <n v="97"/>
    <n v="93.28"/>
    <n v="5"/>
    <x v="414"/>
    <d v="2005-04-14T00:00:00"/>
    <s v="Shipped"/>
    <n v="2"/>
    <n v="4"/>
    <x v="2"/>
    <x v="1"/>
    <n v="115"/>
    <s v="S12_4675"/>
    <s v="Mini Caravy"/>
    <s v="88.60.1555"/>
    <s v="24, place Kluber"/>
    <m/>
    <s v="Strasbourg"/>
    <m/>
    <n v="67000"/>
    <x v="1"/>
    <s v="EMEA"/>
    <s v="Citeaux"/>
    <s v="Frederique"/>
    <s v="Large"/>
  </r>
  <r>
    <n v="10419"/>
    <n v="32"/>
    <n v="100"/>
    <n v="10"/>
    <x v="415"/>
    <d v="2005-05-17T00:00:00"/>
    <s v="Shipped"/>
    <n v="2"/>
    <n v="5"/>
    <x v="2"/>
    <x v="1"/>
    <n v="115"/>
    <s v="S12_4675"/>
    <s v="Salzburg Collectables"/>
    <s v="6562-9555"/>
    <s v="Geislweg 14"/>
    <m/>
    <s v="Salzburg"/>
    <m/>
    <n v="5020"/>
    <x v="5"/>
    <s v="EMEA"/>
    <s v="Pipps"/>
    <s v="Georg"/>
    <s v="Medium"/>
  </r>
  <r>
    <n v="10103"/>
    <n v="35"/>
    <n v="100"/>
    <n v="10"/>
    <x v="416"/>
    <d v="2003-01-29T00:00:00"/>
    <s v="Shipped"/>
    <n v="1"/>
    <n v="1"/>
    <x v="0"/>
    <x v="2"/>
    <n v="116"/>
    <s v="S18_1097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49"/>
    <n v="100"/>
    <n v="4"/>
    <x v="417"/>
    <d v="2003-03-26T00:00:00"/>
    <s v="Shipped"/>
    <n v="1"/>
    <n v="3"/>
    <x v="0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26"/>
    <n v="38"/>
    <n v="100"/>
    <n v="10"/>
    <x v="418"/>
    <d v="2003-05-28T00:00:00"/>
    <s v="Shipped"/>
    <n v="2"/>
    <n v="5"/>
    <x v="0"/>
    <x v="2"/>
    <n v="116"/>
    <s v="S18_1097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32"/>
    <n v="100"/>
    <n v="10"/>
    <x v="419"/>
    <d v="2003-07-24T00:00:00"/>
    <s v="Shipped"/>
    <n v="3"/>
    <n v="7"/>
    <x v="0"/>
    <x v="2"/>
    <n v="116"/>
    <s v="S18_1097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34"/>
    <n v="100"/>
    <n v="7"/>
    <x v="420"/>
    <d v="2003-09-19T00:00:00"/>
    <s v="Shipped"/>
    <n v="3"/>
    <n v="9"/>
    <x v="0"/>
    <x v="2"/>
    <n v="116"/>
    <s v="S18_109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36"/>
    <n v="99.17"/>
    <n v="8"/>
    <x v="421"/>
    <d v="2003-10-21T00:00:00"/>
    <s v="Resolved"/>
    <n v="4"/>
    <n v="10"/>
    <x v="0"/>
    <x v="2"/>
    <n v="116"/>
    <s v="S18_1097"/>
    <s v="Mini Auto Werke"/>
    <s v="7675-3555"/>
    <s v="Kirchgasse 6"/>
    <m/>
    <s v="Graz"/>
    <m/>
    <n v="8010"/>
    <x v="5"/>
    <s v="EMEA"/>
    <s v="Mendel"/>
    <s v="Roland"/>
    <s v="Medium"/>
  </r>
  <r>
    <n v="10174"/>
    <n v="48"/>
    <n v="93.34"/>
    <n v="3"/>
    <x v="422"/>
    <d v="2003-11-06T00:00:00"/>
    <s v="Shipped"/>
    <n v="4"/>
    <n v="11"/>
    <x v="0"/>
    <x v="2"/>
    <n v="116"/>
    <s v="S18_1097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21"/>
    <n v="96.84"/>
    <n v="7"/>
    <x v="423"/>
    <d v="2003-11-13T00:00:00"/>
    <s v="Shipped"/>
    <n v="4"/>
    <n v="11"/>
    <x v="0"/>
    <x v="2"/>
    <n v="116"/>
    <s v="S18_109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21"/>
    <n v="93.34"/>
    <n v="10"/>
    <x v="424"/>
    <d v="2003-11-25T00:00:00"/>
    <s v="Shipped"/>
    <n v="4"/>
    <n v="11"/>
    <x v="0"/>
    <x v="2"/>
    <n v="116"/>
    <s v="S18_1097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4"/>
    <n v="100"/>
    <n v="5"/>
    <x v="425"/>
    <d v="2003-12-05T00:00:00"/>
    <s v="Shipped"/>
    <n v="4"/>
    <n v="12"/>
    <x v="0"/>
    <x v="2"/>
    <n v="116"/>
    <s v="S18_1097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6"/>
    <n v="100"/>
    <n v="2"/>
    <x v="426"/>
    <d v="2004-01-29T00:00:00"/>
    <s v="Shipped"/>
    <n v="1"/>
    <n v="1"/>
    <x v="1"/>
    <x v="2"/>
    <n v="116"/>
    <s v="S18_1097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2"/>
    <n v="100"/>
    <n v="1"/>
    <x v="427"/>
    <d v="2004-03-10T00:00:00"/>
    <s v="Shipped"/>
    <n v="1"/>
    <n v="3"/>
    <x v="1"/>
    <x v="2"/>
    <n v="116"/>
    <s v="S18_1097"/>
    <s v="Cambridge Collectables Co."/>
    <n v="6175555555"/>
    <s v="4658 Baden Av."/>
    <m/>
    <s v="Cambridge"/>
    <s v="MA"/>
    <n v="51247"/>
    <x v="0"/>
    <s v="NA"/>
    <s v="Tseng"/>
    <s v="Kyung"/>
    <s v="Medium"/>
  </r>
  <r>
    <n v="10245"/>
    <n v="29"/>
    <n v="100"/>
    <n v="8"/>
    <x v="221"/>
    <d v="2004-05-04T00:00:00"/>
    <s v="Shipped"/>
    <n v="2"/>
    <n v="5"/>
    <x v="1"/>
    <x v="2"/>
    <n v="116"/>
    <s v="S18_1097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1"/>
    <n v="100"/>
    <n v="5"/>
    <x v="428"/>
    <d v="2004-06-15T00:00:00"/>
    <s v="Shipped"/>
    <n v="2"/>
    <n v="6"/>
    <x v="1"/>
    <x v="2"/>
    <n v="116"/>
    <s v="S18_109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43"/>
    <n v="96.84"/>
    <n v="8"/>
    <x v="429"/>
    <d v="2004-07-19T00:00:00"/>
    <s v="Shipped"/>
    <n v="3"/>
    <n v="7"/>
    <x v="1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4"/>
    <n v="100"/>
    <n v="1"/>
    <x v="430"/>
    <d v="2004-08-17T00:00:00"/>
    <s v="Shipped"/>
    <n v="3"/>
    <n v="8"/>
    <x v="1"/>
    <x v="2"/>
    <n v="116"/>
    <s v="S18_1097"/>
    <s v="Amica Models &amp; Co."/>
    <s v="011-4988555"/>
    <s v="Via Monte Bianco 34"/>
    <m/>
    <s v="Torino"/>
    <m/>
    <n v="10100"/>
    <x v="12"/>
    <s v="EMEA"/>
    <s v="Accorti"/>
    <s v="Paolo"/>
    <s v="Small"/>
  </r>
  <r>
    <n v="10291"/>
    <n v="41"/>
    <n v="100"/>
    <n v="10"/>
    <x v="431"/>
    <d v="2004-09-08T00:00:00"/>
    <s v="Shipped"/>
    <n v="3"/>
    <n v="9"/>
    <x v="1"/>
    <x v="2"/>
    <n v="116"/>
    <s v="S18_1097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6"/>
    <n v="98"/>
    <n v="5"/>
    <x v="432"/>
    <d v="2004-10-11T00:00:00"/>
    <s v="Shipped"/>
    <n v="4"/>
    <n v="10"/>
    <x v="1"/>
    <x v="2"/>
    <n v="116"/>
    <s v="S18_1097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2"/>
    <n v="100"/>
    <n v="2"/>
    <x v="419"/>
    <d v="2004-10-21T00:00:00"/>
    <s v="Shipped"/>
    <n v="4"/>
    <n v="10"/>
    <x v="1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22"/>
    <n v="100"/>
    <n v="10"/>
    <x v="433"/>
    <d v="2004-11-04T00:00:00"/>
    <s v="Shipped"/>
    <n v="4"/>
    <n v="11"/>
    <x v="1"/>
    <x v="2"/>
    <n v="116"/>
    <s v="S18_109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3"/>
    <n v="29"/>
    <n v="40.25"/>
    <n v="7"/>
    <x v="434"/>
    <d v="2004-11-18T00:00:00"/>
    <s v="Shipped"/>
    <n v="4"/>
    <n v="11"/>
    <x v="1"/>
    <x v="2"/>
    <n v="116"/>
    <s v="S18_1097"/>
    <s v="Mini Wheels Co."/>
    <n v="6505555787"/>
    <s v="5557 North Pendale Street"/>
    <m/>
    <s v="San Francisco"/>
    <s v="CA"/>
    <m/>
    <x v="0"/>
    <s v="NA"/>
    <s v="Murphy"/>
    <s v="Julie"/>
    <s v="Small"/>
  </r>
  <r>
    <n v="10347"/>
    <n v="42"/>
    <n v="49.6"/>
    <n v="5"/>
    <x v="435"/>
    <d v="2004-11-29T00:00:00"/>
    <s v="Shipped"/>
    <n v="4"/>
    <n v="11"/>
    <x v="1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39"/>
    <n v="98"/>
    <n v="1"/>
    <x v="436"/>
    <d v="2004-12-10T00:00:00"/>
    <s v="Shipped"/>
    <n v="4"/>
    <n v="12"/>
    <x v="1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27"/>
    <n v="100"/>
    <n v="1"/>
    <x v="437"/>
    <d v="2005-01-20T00:00:00"/>
    <s v="Shipped"/>
    <n v="1"/>
    <n v="1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1"/>
    <n v="48"/>
    <n v="98"/>
    <n v="2"/>
    <x v="438"/>
    <d v="2005-02-17T00:00:00"/>
    <s v="Shipped"/>
    <n v="1"/>
    <n v="2"/>
    <x v="2"/>
    <x v="2"/>
    <n v="116"/>
    <s v="S18_1097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29"/>
    <n v="85.1"/>
    <n v="10"/>
    <x v="439"/>
    <d v="2005-03-09T00:00:00"/>
    <s v="Shipped"/>
    <n v="1"/>
    <n v="3"/>
    <x v="2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1"/>
    <n v="27"/>
    <n v="100"/>
    <n v="8"/>
    <x v="440"/>
    <d v="2005-05-01T00:00:00"/>
    <s v="Shipped"/>
    <n v="2"/>
    <n v="5"/>
    <x v="2"/>
    <x v="2"/>
    <n v="116"/>
    <s v="S18_1097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54"/>
    <n v="100"/>
    <n v="5"/>
    <x v="441"/>
    <d v="2005-05-31T00:00:00"/>
    <s v="In Process"/>
    <n v="2"/>
    <n v="5"/>
    <x v="2"/>
    <x v="2"/>
    <n v="116"/>
    <s v="S18_1097"/>
    <s v="Euro Shopping Channel"/>
    <s v="(91) 555 94 44"/>
    <s v="C/ Moralzarzal, 86"/>
    <m/>
    <s v="Madrid"/>
    <m/>
    <n v="28034"/>
    <x v="7"/>
    <s v="EMEA"/>
    <s v="Freyre"/>
    <s v="Diego"/>
    <s v="Large"/>
  </r>
  <r>
    <n v="10109"/>
    <n v="26"/>
    <n v="100"/>
    <n v="4"/>
    <x v="442"/>
    <d v="2003-03-10T00:00:00"/>
    <s v="Shipped"/>
    <n v="1"/>
    <n v="3"/>
    <x v="0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2"/>
    <n v="34"/>
    <n v="100"/>
    <n v="2"/>
    <x v="106"/>
    <d v="2003-05-08T00:00:00"/>
    <s v="Shipped"/>
    <n v="2"/>
    <n v="5"/>
    <x v="0"/>
    <x v="1"/>
    <n v="141"/>
    <s v="S18_1129"/>
    <s v="Marseille Mini Autos"/>
    <s v="91.24.4555"/>
    <s v="12, rue des Bouchers"/>
    <m/>
    <s v="Marseille"/>
    <m/>
    <n v="13008"/>
    <x v="1"/>
    <s v="EMEA"/>
    <s v="Lebihan"/>
    <s v="Laurence"/>
    <s v="Medium"/>
  </r>
  <r>
    <n v="10136"/>
    <n v="25"/>
    <n v="100"/>
    <n v="2"/>
    <x v="443"/>
    <d v="2003-07-04T00:00:00"/>
    <s v="Shipped"/>
    <n v="3"/>
    <n v="7"/>
    <x v="0"/>
    <x v="1"/>
    <n v="141"/>
    <s v="S18_1129"/>
    <s v="Alpha Cognac"/>
    <s v="61.77.6555"/>
    <s v="1 rue Alsace-Lorraine"/>
    <m/>
    <s v="Toulouse"/>
    <m/>
    <n v="31000"/>
    <x v="1"/>
    <s v="EMEA"/>
    <s v="Roulet"/>
    <s v="Annette"/>
    <s v="Medium"/>
  </r>
  <r>
    <n v="10148"/>
    <n v="23"/>
    <n v="100"/>
    <n v="13"/>
    <x v="444"/>
    <d v="2003-09-11T00:00:00"/>
    <s v="Shipped"/>
    <n v="3"/>
    <n v="9"/>
    <x v="0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8"/>
    <n v="100"/>
    <n v="12"/>
    <x v="445"/>
    <d v="2003-10-17T00:00:00"/>
    <s v="Shipped"/>
    <n v="4"/>
    <n v="10"/>
    <x v="0"/>
    <x v="1"/>
    <n v="141"/>
    <s v="S18_1129"/>
    <s v="Heintze Collectables"/>
    <s v="86 21 3555"/>
    <s v="Smagsloget 45"/>
    <m/>
    <s v="Aaarhus"/>
    <m/>
    <n v="8200"/>
    <x v="13"/>
    <s v="EMEA"/>
    <s v="Ibsen"/>
    <s v="Palle"/>
    <s v="Medium"/>
  </r>
  <r>
    <n v="10171"/>
    <n v="35"/>
    <n v="100"/>
    <n v="2"/>
    <x v="432"/>
    <d v="2003-11-05T00:00:00"/>
    <s v="Shipped"/>
    <n v="4"/>
    <n v="11"/>
    <x v="0"/>
    <x v="1"/>
    <n v="141"/>
    <s v="S18_1129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81"/>
    <n v="44"/>
    <n v="100"/>
    <n v="6"/>
    <x v="446"/>
    <d v="2003-11-12T00:00:00"/>
    <s v="Shipped"/>
    <n v="4"/>
    <n v="11"/>
    <x v="0"/>
    <x v="1"/>
    <n v="141"/>
    <s v="S18_1129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2"/>
    <n v="100"/>
    <n v="11"/>
    <x v="447"/>
    <d v="2003-11-20T00:00:00"/>
    <s v="Shipped"/>
    <n v="4"/>
    <n v="11"/>
    <x v="0"/>
    <x v="1"/>
    <n v="141"/>
    <s v="S18_112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17"/>
    <x v="448"/>
    <d v="2003-12-02T00:00:00"/>
    <s v="Shipped"/>
    <n v="4"/>
    <n v="12"/>
    <x v="0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9"/>
    <n v="100"/>
    <n v="10"/>
    <x v="449"/>
    <d v="2004-01-16T00:00:00"/>
    <s v="Shipped"/>
    <n v="1"/>
    <n v="1"/>
    <x v="1"/>
    <x v="1"/>
    <n v="141"/>
    <s v="S18_1129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32"/>
    <n v="100"/>
    <n v="1"/>
    <x v="450"/>
    <d v="2004-02-22T00:00:00"/>
    <s v="Shipped"/>
    <n v="1"/>
    <n v="2"/>
    <x v="1"/>
    <x v="1"/>
    <n v="141"/>
    <s v="S18_1129"/>
    <s v="Vida Sport, Ltd"/>
    <s v="0897-034555"/>
    <s v="Grenzacherweg 237"/>
    <m/>
    <s v="Gensve"/>
    <m/>
    <n v="1203"/>
    <x v="17"/>
    <s v="EMEA"/>
    <s v="Holz"/>
    <s v="Michael"/>
    <s v="Medium"/>
  </r>
  <r>
    <n v="10240"/>
    <n v="41"/>
    <n v="100"/>
    <n v="3"/>
    <x v="451"/>
    <d v="2004-04-13T00:00:00"/>
    <s v="Shipped"/>
    <n v="2"/>
    <n v="4"/>
    <x v="1"/>
    <x v="1"/>
    <n v="141"/>
    <s v="S18_1129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26"/>
    <n v="100"/>
    <n v="5"/>
    <x v="452"/>
    <d v="2004-06-01T00:00:00"/>
    <s v="Cancelled"/>
    <n v="2"/>
    <n v="6"/>
    <x v="1"/>
    <x v="1"/>
    <n v="141"/>
    <s v="S18_112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1"/>
    <n v="100"/>
    <n v="6"/>
    <x v="453"/>
    <d v="2004-07-06T00:00:00"/>
    <s v="Shipped"/>
    <n v="3"/>
    <n v="7"/>
    <x v="1"/>
    <x v="1"/>
    <n v="141"/>
    <s v="S18_112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4"/>
    <n v="100"/>
    <n v="6"/>
    <x v="454"/>
    <d v="2004-08-06T00:00:00"/>
    <s v="Shipped"/>
    <n v="3"/>
    <n v="8"/>
    <x v="1"/>
    <x v="1"/>
    <n v="141"/>
    <s v="S18_1129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41"/>
    <n v="100"/>
    <n v="4"/>
    <x v="455"/>
    <d v="2004-08-30T00:00:00"/>
    <s v="Shipped"/>
    <n v="3"/>
    <n v="8"/>
    <x v="1"/>
    <x v="1"/>
    <n v="141"/>
    <s v="S18_1129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37"/>
    <n v="100"/>
    <n v="8"/>
    <x v="456"/>
    <d v="2003-10-05T00:00:00"/>
    <s v="Shipped"/>
    <n v="4"/>
    <n v="10"/>
    <x v="0"/>
    <x v="1"/>
    <n v="141"/>
    <s v="S18_112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0"/>
    <n v="37"/>
    <n v="100"/>
    <n v="2"/>
    <x v="457"/>
    <d v="2004-10-16T00:00:00"/>
    <s v="Shipped"/>
    <n v="4"/>
    <n v="10"/>
    <x v="1"/>
    <x v="1"/>
    <n v="141"/>
    <s v="S18_1129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41"/>
    <n v="100"/>
    <n v="10"/>
    <x v="458"/>
    <d v="2004-11-04T00:00:00"/>
    <s v="Shipped"/>
    <n v="4"/>
    <n v="11"/>
    <x v="1"/>
    <x v="1"/>
    <n v="141"/>
    <s v="S18_1129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46"/>
    <n v="100"/>
    <n v="6"/>
    <x v="459"/>
    <d v="2004-11-17T00:00:00"/>
    <s v="Shipped"/>
    <n v="4"/>
    <n v="11"/>
    <x v="1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0"/>
    <n v="100"/>
    <n v="2"/>
    <x v="460"/>
    <d v="2004-11-24T00:00:00"/>
    <s v="Shipped"/>
    <n v="4"/>
    <n v="11"/>
    <x v="1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43"/>
    <n v="97.6"/>
    <n v="8"/>
    <x v="461"/>
    <d v="2004-12-09T00:00:00"/>
    <s v="Shipped"/>
    <n v="4"/>
    <n v="12"/>
    <x v="1"/>
    <x v="1"/>
    <n v="141"/>
    <s v="S18_1129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5"/>
    <n v="30"/>
    <n v="87.06"/>
    <n v="1"/>
    <x v="462"/>
    <d v="2005-01-07T00:00:00"/>
    <s v="Shipped"/>
    <n v="1"/>
    <n v="1"/>
    <x v="2"/>
    <x v="1"/>
    <n v="141"/>
    <s v="S18_1129"/>
    <s v="Mini Creations Ltd."/>
    <n v="5085559555"/>
    <s v="4575 Hillside Dr."/>
    <m/>
    <s v="New Bedford"/>
    <s v="MA"/>
    <n v="50553"/>
    <x v="0"/>
    <s v="NA"/>
    <s v="Tam"/>
    <s v="Wing C"/>
    <s v="Small"/>
  </r>
  <r>
    <n v="10377"/>
    <n v="35"/>
    <n v="100"/>
    <n v="2"/>
    <x v="463"/>
    <d v="2005-02-09T00:00:00"/>
    <s v="Shipped"/>
    <n v="1"/>
    <n v="2"/>
    <x v="2"/>
    <x v="1"/>
    <n v="141"/>
    <s v="S18_1129"/>
    <s v="Toys of Finland, Co."/>
    <s v="90-224 8555"/>
    <s v="Keskuskatu 45"/>
    <m/>
    <s v="Helsinki"/>
    <m/>
    <n v="21240"/>
    <x v="4"/>
    <s v="EMEA"/>
    <s v="Karttunen"/>
    <s v="Matti"/>
    <s v="Medium"/>
  </r>
  <r>
    <n v="10390"/>
    <n v="36"/>
    <n v="93.77"/>
    <n v="14"/>
    <x v="464"/>
    <d v="2005-03-04T00:00:00"/>
    <s v="Shipped"/>
    <n v="1"/>
    <n v="3"/>
    <x v="2"/>
    <x v="1"/>
    <n v="141"/>
    <s v="S18_112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6"/>
    <n v="61"/>
    <n v="100"/>
    <n v="3"/>
    <x v="465"/>
    <d v="2005-04-15T00:00:00"/>
    <s v="Disputed"/>
    <n v="2"/>
    <n v="4"/>
    <x v="2"/>
    <x v="1"/>
    <n v="141"/>
    <s v="S18_1129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38"/>
    <n v="100"/>
    <n v="5"/>
    <x v="466"/>
    <d v="2005-05-17T00:00:00"/>
    <s v="Shipped"/>
    <n v="2"/>
    <n v="5"/>
    <x v="2"/>
    <x v="1"/>
    <n v="141"/>
    <s v="S18_1129"/>
    <s v="Salzburg Collectables"/>
    <s v="6562-9555"/>
    <s v="Geislweg 14"/>
    <m/>
    <s v="Salzburg"/>
    <m/>
    <n v="5020"/>
    <x v="5"/>
    <s v="EMEA"/>
    <s v="Pipps"/>
    <s v="Georg"/>
    <s v="Medium"/>
  </r>
  <r>
    <n v="10102"/>
    <n v="39"/>
    <n v="100"/>
    <n v="2"/>
    <x v="467"/>
    <d v="2003-01-10T00:00:00"/>
    <s v="Shipped"/>
    <n v="1"/>
    <n v="1"/>
    <x v="0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111"/>
    <n v="33"/>
    <n v="99.66"/>
    <n v="6"/>
    <x v="468"/>
    <d v="2003-03-25T00:00:00"/>
    <s v="Shipped"/>
    <n v="1"/>
    <n v="3"/>
    <x v="0"/>
    <x v="3"/>
    <n v="102"/>
    <s v="S18_1342"/>
    <s v="Mini Wheels Co."/>
    <n v="6505555787"/>
    <s v="5557 North Pendale Street"/>
    <m/>
    <s v="San Francisco"/>
    <s v="CA"/>
    <m/>
    <x v="0"/>
    <s v="NA"/>
    <s v="Murphy"/>
    <s v="Julie"/>
    <s v="Medium"/>
  </r>
  <r>
    <n v="10125"/>
    <n v="32"/>
    <n v="100"/>
    <n v="1"/>
    <x v="469"/>
    <d v="2003-05-21T00:00:00"/>
    <s v="Shipped"/>
    <n v="2"/>
    <n v="5"/>
    <x v="0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31"/>
    <n v="100"/>
    <n v="7"/>
    <x v="470"/>
    <d v="2003-07-16T00:00:00"/>
    <s v="Shipped"/>
    <n v="3"/>
    <n v="7"/>
    <x v="0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50"/>
    <n v="100"/>
    <n v="4"/>
    <x v="471"/>
    <d v="2003-09-12T00:00:00"/>
    <s v="Shipped"/>
    <n v="3"/>
    <n v="9"/>
    <x v="0"/>
    <x v="3"/>
    <n v="102"/>
    <s v="S18_1342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48"/>
    <n v="91.44"/>
    <n v="2"/>
    <x v="472"/>
    <d v="2003-10-18T00:00:00"/>
    <s v="Shipped"/>
    <n v="4"/>
    <n v="10"/>
    <x v="0"/>
    <x v="3"/>
    <n v="102"/>
    <s v="S18_1342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43"/>
    <n v="100"/>
    <n v="6"/>
    <x v="473"/>
    <d v="2003-11-05T00:00:00"/>
    <s v="Shipped"/>
    <n v="4"/>
    <n v="11"/>
    <x v="0"/>
    <x v="3"/>
    <n v="102"/>
    <s v="S18_1342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5"/>
    <n v="87.33"/>
    <n v="3"/>
    <x v="474"/>
    <d v="2003-11-12T00:00:00"/>
    <s v="Shipped"/>
    <n v="4"/>
    <n v="11"/>
    <x v="0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8"/>
    <n v="100"/>
    <n v="7"/>
    <x v="475"/>
    <d v="2003-11-21T00:00:00"/>
    <s v="Shipped"/>
    <n v="4"/>
    <n v="11"/>
    <x v="0"/>
    <x v="3"/>
    <n v="102"/>
    <s v="S18_1342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5"/>
    <n v="36"/>
    <n v="100"/>
    <n v="2"/>
    <x v="476"/>
    <d v="2003-12-03T00:00:00"/>
    <s v="Shipped"/>
    <n v="4"/>
    <n v="12"/>
    <x v="0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Medium"/>
  </r>
  <r>
    <n v="10215"/>
    <n v="27"/>
    <n v="89.38"/>
    <n v="10"/>
    <x v="477"/>
    <d v="2004-01-29T00:00:00"/>
    <s v="Shipped"/>
    <n v="1"/>
    <n v="1"/>
    <x v="1"/>
    <x v="3"/>
    <n v="102"/>
    <s v="S18_1342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7"/>
    <n v="25"/>
    <n v="100"/>
    <n v="3"/>
    <x v="478"/>
    <d v="2004-03-02T00:00:00"/>
    <s v="Shipped"/>
    <n v="1"/>
    <n v="3"/>
    <x v="1"/>
    <x v="3"/>
    <n v="102"/>
    <s v="S18_1342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40"/>
    <n v="100"/>
    <n v="7"/>
    <x v="479"/>
    <d v="2004-04-29T00:00:00"/>
    <s v="Shipped"/>
    <n v="2"/>
    <n v="4"/>
    <x v="1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Medium"/>
  </r>
  <r>
    <n v="10256"/>
    <n v="34"/>
    <n v="95.55"/>
    <n v="2"/>
    <x v="480"/>
    <d v="2004-06-08T00:00:00"/>
    <s v="Shipped"/>
    <n v="2"/>
    <n v="6"/>
    <x v="1"/>
    <x v="3"/>
    <n v="102"/>
    <s v="S18_1342"/>
    <s v="Danish Wholesale Imports"/>
    <s v="31 12 3555"/>
    <s v="Vinb'ltet 34"/>
    <m/>
    <s v="Kobenhavn"/>
    <m/>
    <n v="1734"/>
    <x v="13"/>
    <s v="EMEA"/>
    <s v="Petersen"/>
    <s v="Jytte"/>
    <s v="Medium"/>
  </r>
  <r>
    <n v="10280"/>
    <n v="50"/>
    <n v="100"/>
    <n v="9"/>
    <x v="481"/>
    <d v="2004-08-17T00:00:00"/>
    <s v="Shipped"/>
    <n v="3"/>
    <n v="8"/>
    <x v="1"/>
    <x v="3"/>
    <n v="102"/>
    <s v="S18_1342"/>
    <s v="Amica Models &amp; Co."/>
    <s v="011-4988555"/>
    <s v="Via Monte Bianco 34"/>
    <m/>
    <s v="Torino"/>
    <m/>
    <n v="10100"/>
    <x v="12"/>
    <s v="EMEA"/>
    <s v="Accorti"/>
    <s v="Paolo"/>
    <s v="Medium"/>
  </r>
  <r>
    <n v="10289"/>
    <n v="38"/>
    <n v="100"/>
    <n v="2"/>
    <x v="482"/>
    <d v="2004-09-03T00:00:00"/>
    <s v="Shipped"/>
    <n v="3"/>
    <n v="9"/>
    <x v="1"/>
    <x v="3"/>
    <n v="102"/>
    <s v="S18_1342"/>
    <s v="Herkku Gifts"/>
    <s v="+47 2267 3215"/>
    <s v="Drammen 121, PR 744 Sentrum"/>
    <m/>
    <s v="Bergen"/>
    <m/>
    <s v="N 5804"/>
    <x v="2"/>
    <s v="EMEA"/>
    <s v="Oeztan"/>
    <s v="Veysel"/>
    <s v="Medium"/>
  </r>
  <r>
    <n v="10304"/>
    <n v="37"/>
    <n v="95.55"/>
    <n v="13"/>
    <x v="483"/>
    <d v="2004-10-11T00:00:00"/>
    <s v="Shipped"/>
    <n v="4"/>
    <n v="10"/>
    <x v="1"/>
    <x v="3"/>
    <n v="102"/>
    <s v="S18_1342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43"/>
    <n v="89.38"/>
    <n v="10"/>
    <x v="484"/>
    <d v="2004-10-21T00:00:00"/>
    <s v="Shipped"/>
    <n v="4"/>
    <n v="10"/>
    <x v="1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43"/>
    <n v="86.3"/>
    <n v="14"/>
    <x v="485"/>
    <d v="2004-11-04T00:00:00"/>
    <s v="Shipped"/>
    <n v="4"/>
    <n v="11"/>
    <x v="1"/>
    <x v="3"/>
    <n v="102"/>
    <s v="S18_134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46"/>
    <n v="95.13"/>
    <n v="15"/>
    <x v="486"/>
    <d v="2004-11-17T00:00:00"/>
    <s v="Shipped"/>
    <n v="4"/>
    <n v="11"/>
    <x v="1"/>
    <x v="3"/>
    <n v="102"/>
    <s v="S18_1342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42"/>
    <n v="36.11"/>
    <n v="3"/>
    <x v="487"/>
    <d v="2004-11-29T00:00:00"/>
    <s v="Shipped"/>
    <n v="4"/>
    <n v="11"/>
    <x v="1"/>
    <x v="3"/>
    <n v="102"/>
    <s v="S18_1342"/>
    <s v="Signal Gift Stores"/>
    <n v="7025551838"/>
    <s v="8489 Strong St."/>
    <m/>
    <s v="Las Vegas"/>
    <s v="NV"/>
    <n v="83030"/>
    <x v="0"/>
    <s v="NA"/>
    <s v="King"/>
    <s v="Sue"/>
    <s v="Small"/>
  </r>
  <r>
    <n v="10356"/>
    <n v="50"/>
    <n v="50.18"/>
    <n v="9"/>
    <x v="488"/>
    <d v="2004-12-09T00:00:00"/>
    <s v="Shipped"/>
    <n v="4"/>
    <n v="12"/>
    <x v="1"/>
    <x v="3"/>
    <n v="102"/>
    <s v="S18_1342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9"/>
    <n v="44"/>
    <n v="100"/>
    <n v="8"/>
    <x v="489"/>
    <d v="2005-01-20T00:00:00"/>
    <s v="Shipped"/>
    <n v="1"/>
    <n v="1"/>
    <x v="2"/>
    <x v="3"/>
    <n v="102"/>
    <s v="S18_1342"/>
    <s v="Collectables For Less Inc."/>
    <n v="6175558555"/>
    <s v="7825 Douglas Av."/>
    <m/>
    <s v="Brickhaven"/>
    <s v="MA"/>
    <n v="58339"/>
    <x v="0"/>
    <s v="NA"/>
    <s v="Nelson"/>
    <s v="Allen"/>
    <s v="Large"/>
  </r>
  <r>
    <n v="10380"/>
    <n v="27"/>
    <n v="93.16"/>
    <n v="13"/>
    <x v="490"/>
    <d v="2005-02-16T00:00:00"/>
    <s v="Shipped"/>
    <n v="1"/>
    <n v="2"/>
    <x v="2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35"/>
    <n v="100"/>
    <n v="2"/>
    <x v="491"/>
    <d v="2005-03-09T00:00:00"/>
    <s v="Shipped"/>
    <n v="1"/>
    <n v="3"/>
    <x v="2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51"/>
    <n v="95.55"/>
    <n v="2"/>
    <x v="492"/>
    <d v="2005-05-30T00:00:00"/>
    <s v="In Process"/>
    <n v="2"/>
    <n v="5"/>
    <x v="2"/>
    <x v="3"/>
    <n v="102"/>
    <s v="S18_1342"/>
    <s v="Diecast Classics Inc."/>
    <n v="2155551555"/>
    <s v="7586 Pompton St."/>
    <m/>
    <s v="Allentown"/>
    <s v="PA"/>
    <n v="70267"/>
    <x v="0"/>
    <s v="NA"/>
    <s v="Yu"/>
    <s v="Kyung"/>
    <s v="Medium"/>
  </r>
  <r>
    <n v="10102"/>
    <n v="41"/>
    <n v="50.14"/>
    <n v="1"/>
    <x v="493"/>
    <d v="2003-01-10T00:00:00"/>
    <s v="Shipped"/>
    <n v="1"/>
    <n v="1"/>
    <x v="0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s v="Small"/>
  </r>
  <r>
    <n v="10111"/>
    <n v="48"/>
    <n v="49.06"/>
    <n v="5"/>
    <x v="494"/>
    <d v="2003-03-25T00:00:00"/>
    <s v="Shipped"/>
    <n v="1"/>
    <n v="3"/>
    <x v="0"/>
    <x v="3"/>
    <n v="53"/>
    <s v="S18_1367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42"/>
    <n v="54.99"/>
    <n v="17"/>
    <x v="495"/>
    <d v="2003-05-28T00:00:00"/>
    <s v="Shipped"/>
    <n v="2"/>
    <n v="5"/>
    <x v="0"/>
    <x v="3"/>
    <n v="53"/>
    <s v="S18_1367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49"/>
    <n v="43.13"/>
    <n v="6"/>
    <x v="496"/>
    <d v="2003-07-16T00:00:00"/>
    <s v="Shipped"/>
    <n v="3"/>
    <n v="7"/>
    <x v="0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49"/>
    <n v="30"/>
    <n v="58.22"/>
    <n v="3"/>
    <x v="497"/>
    <d v="2003-09-12T00:00:00"/>
    <s v="Shipped"/>
    <n v="3"/>
    <n v="9"/>
    <x v="0"/>
    <x v="3"/>
    <n v="53"/>
    <s v="S18_1367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45"/>
    <n v="51.21"/>
    <n v="1"/>
    <x v="498"/>
    <d v="2003-10-18T00:00:00"/>
    <s v="Shipped"/>
    <n v="4"/>
    <n v="10"/>
    <x v="0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48"/>
    <n v="44.21"/>
    <n v="5"/>
    <x v="499"/>
    <d v="2003-11-05T00:00:00"/>
    <s v="Shipped"/>
    <n v="4"/>
    <n v="11"/>
    <x v="0"/>
    <x v="3"/>
    <n v="53"/>
    <s v="S18_1367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2"/>
    <n v="54.45"/>
    <n v="2"/>
    <x v="500"/>
    <d v="2003-11-12T00:00:00"/>
    <s v="Shipped"/>
    <n v="4"/>
    <n v="11"/>
    <x v="0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6"/>
    <n v="53.37"/>
    <n v="6"/>
    <x v="501"/>
    <d v="2003-11-21T00:00:00"/>
    <s v="Shipped"/>
    <n v="4"/>
    <n v="11"/>
    <x v="0"/>
    <x v="3"/>
    <n v="53"/>
    <s v="S18_136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48"/>
    <n v="63.61"/>
    <n v="1"/>
    <x v="502"/>
    <d v="2003-12-03T00:00:00"/>
    <s v="Shipped"/>
    <n v="4"/>
    <n v="12"/>
    <x v="0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s v="Medium"/>
  </r>
  <r>
    <n v="10215"/>
    <n v="33"/>
    <n v="43.13"/>
    <n v="9"/>
    <x v="503"/>
    <d v="2004-01-29T00:00:00"/>
    <s v="Shipped"/>
    <n v="1"/>
    <n v="1"/>
    <x v="1"/>
    <x v="3"/>
    <n v="53"/>
    <s v="S18_1367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7"/>
    <n v="31"/>
    <n v="48.52"/>
    <n v="2"/>
    <x v="504"/>
    <d v="2004-03-02T00:00:00"/>
    <s v="Shipped"/>
    <n v="1"/>
    <n v="3"/>
    <x v="1"/>
    <x v="3"/>
    <n v="53"/>
    <s v="S18_1367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20"/>
    <n v="58.22"/>
    <n v="6"/>
    <x v="505"/>
    <d v="2004-04-29T00:00:00"/>
    <s v="Shipped"/>
    <n v="2"/>
    <n v="4"/>
    <x v="1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s v="Small"/>
  </r>
  <r>
    <n v="10256"/>
    <n v="29"/>
    <n v="51.75"/>
    <n v="1"/>
    <x v="506"/>
    <d v="2004-06-08T00:00:00"/>
    <s v="Shipped"/>
    <n v="2"/>
    <n v="6"/>
    <x v="1"/>
    <x v="3"/>
    <n v="53"/>
    <s v="S18_1367"/>
    <s v="Danish Wholesale Imports"/>
    <s v="31 12 3555"/>
    <s v="Vinb'ltet 34"/>
    <m/>
    <s v="Kobenhavn"/>
    <m/>
    <n v="1734"/>
    <x v="13"/>
    <s v="EMEA"/>
    <s v="Petersen"/>
    <s v="Jytte"/>
    <s v="Small"/>
  </r>
  <r>
    <n v="10280"/>
    <n v="27"/>
    <n v="57.68"/>
    <n v="8"/>
    <x v="507"/>
    <d v="2004-08-17T00:00:00"/>
    <s v="Shipped"/>
    <n v="3"/>
    <n v="8"/>
    <x v="1"/>
    <x v="3"/>
    <n v="53"/>
    <s v="S18_1367"/>
    <s v="Amica Models &amp; Co."/>
    <s v="011-4988555"/>
    <s v="Via Monte Bianco 34"/>
    <m/>
    <s v="Torino"/>
    <m/>
    <n v="10100"/>
    <x v="12"/>
    <s v="EMEA"/>
    <s v="Accorti"/>
    <s v="Paolo"/>
    <s v="Small"/>
  </r>
  <r>
    <n v="10289"/>
    <n v="24"/>
    <n v="56.07"/>
    <n v="1"/>
    <x v="508"/>
    <d v="2004-09-03T00:00:00"/>
    <s v="Shipped"/>
    <n v="3"/>
    <n v="9"/>
    <x v="1"/>
    <x v="3"/>
    <n v="53"/>
    <s v="S18_1367"/>
    <s v="Herkku Gifts"/>
    <s v="+47 2267 3215"/>
    <s v="Drammen 121, PR 744 Sentrum"/>
    <m/>
    <s v="Bergen"/>
    <m/>
    <s v="N 5804"/>
    <x v="2"/>
    <s v="EMEA"/>
    <s v="Oeztan"/>
    <s v="Veysel"/>
    <s v="Small"/>
  </r>
  <r>
    <n v="10304"/>
    <n v="37"/>
    <n v="48.52"/>
    <n v="12"/>
    <x v="509"/>
    <d v="2004-10-11T00:00:00"/>
    <s v="Shipped"/>
    <n v="4"/>
    <n v="10"/>
    <x v="1"/>
    <x v="3"/>
    <n v="53"/>
    <s v="S18_136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25"/>
    <n v="44.21"/>
    <n v="9"/>
    <x v="510"/>
    <d v="2004-10-21T00:00:00"/>
    <s v="Shipped"/>
    <n v="4"/>
    <n v="10"/>
    <x v="1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41"/>
    <n v="57.68"/>
    <n v="5"/>
    <x v="511"/>
    <d v="2004-11-04T00:00:00"/>
    <s v="Shipped"/>
    <n v="4"/>
    <n v="11"/>
    <x v="1"/>
    <x v="3"/>
    <n v="53"/>
    <s v="S18_136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27"/>
    <n v="89.89"/>
    <n v="16"/>
    <x v="512"/>
    <d v="2004-11-17T00:00:00"/>
    <s v="Shipped"/>
    <n v="4"/>
    <n v="11"/>
    <x v="1"/>
    <x v="3"/>
    <n v="53"/>
    <s v="S18_1367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58.95"/>
    <n v="7"/>
    <x v="513"/>
    <d v="2004-11-29T00:00:00"/>
    <s v="Shipped"/>
    <n v="4"/>
    <n v="11"/>
    <x v="1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6"/>
    <n v="22"/>
    <n v="72.41"/>
    <n v="6"/>
    <x v="514"/>
    <d v="2004-12-09T00:00:00"/>
    <s v="Shipped"/>
    <n v="4"/>
    <n v="12"/>
    <x v="1"/>
    <x v="3"/>
    <n v="53"/>
    <s v="S18_1367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9"/>
    <n v="32"/>
    <n v="98.63"/>
    <n v="7"/>
    <x v="515"/>
    <d v="2005-01-20T00:00:00"/>
    <s v="Shipped"/>
    <n v="1"/>
    <n v="1"/>
    <x v="2"/>
    <x v="3"/>
    <n v="53"/>
    <s v="S18_1367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25"/>
    <n v="52.83"/>
    <n v="9"/>
    <x v="516"/>
    <d v="2005-02-17T00:00:00"/>
    <s v="Shipped"/>
    <n v="1"/>
    <n v="2"/>
    <x v="2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42"/>
    <n v="100"/>
    <n v="3"/>
    <x v="517"/>
    <d v="2005-03-09T00:00:00"/>
    <s v="Shipped"/>
    <n v="1"/>
    <n v="3"/>
    <x v="2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2"/>
    <n v="25"/>
    <n v="51.75"/>
    <n v="1"/>
    <x v="518"/>
    <d v="2005-05-30T00:00:00"/>
    <s v="In Process"/>
    <n v="2"/>
    <n v="5"/>
    <x v="2"/>
    <x v="3"/>
    <n v="53"/>
    <s v="S18_1367"/>
    <s v="Diecast Classics Inc."/>
    <n v="2155551555"/>
    <s v="7586 Pompton St."/>
    <m/>
    <s v="Allentown"/>
    <s v="PA"/>
    <n v="70267"/>
    <x v="0"/>
    <s v="NA"/>
    <s v="Yu"/>
    <s v="Kyung"/>
    <s v="Small"/>
  </r>
  <r>
    <n v="10110"/>
    <n v="37"/>
    <n v="100"/>
    <n v="16"/>
    <x v="519"/>
    <d v="2003-03-18T00:00:00"/>
    <s v="Shipped"/>
    <n v="1"/>
    <n v="3"/>
    <x v="0"/>
    <x v="1"/>
    <n v="124"/>
    <s v="S18_1589"/>
    <s v="AV Stores, Co."/>
    <s v="(171) 555-1555"/>
    <s v="Fauntleroy Circus"/>
    <m/>
    <s v="Manchester"/>
    <m/>
    <s v="EC2 5NT"/>
    <x v="6"/>
    <s v="EMEA"/>
    <s v="Ashworth"/>
    <s v="Victoria"/>
    <s v="Medium"/>
  </r>
  <r>
    <n v="10123"/>
    <n v="26"/>
    <n v="100"/>
    <n v="2"/>
    <x v="520"/>
    <d v="2003-05-20T00:00:00"/>
    <s v="Shipped"/>
    <n v="2"/>
    <n v="5"/>
    <x v="0"/>
    <x v="1"/>
    <n v="124"/>
    <s v="S18_1589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44"/>
    <n v="99.55"/>
    <n v="2"/>
    <x v="521"/>
    <d v="2003-07-10T00:00:00"/>
    <s v="Shipped"/>
    <n v="3"/>
    <n v="7"/>
    <x v="0"/>
    <x v="1"/>
    <n v="124"/>
    <s v="S18_1589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47"/>
    <n v="100"/>
    <n v="9"/>
    <x v="522"/>
    <d v="2003-09-11T00:00:00"/>
    <s v="Shipped"/>
    <n v="3"/>
    <n v="9"/>
    <x v="0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3"/>
    <n v="100"/>
    <n v="8"/>
    <x v="523"/>
    <d v="2003-10-17T00:00:00"/>
    <s v="Shipped"/>
    <n v="4"/>
    <n v="10"/>
    <x v="0"/>
    <x v="1"/>
    <n v="124"/>
    <s v="S18_1589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42"/>
    <n v="100"/>
    <n v="6"/>
    <x v="524"/>
    <d v="2003-11-05T00:00:00"/>
    <s v="Shipped"/>
    <n v="4"/>
    <n v="11"/>
    <x v="0"/>
    <x v="1"/>
    <n v="124"/>
    <s v="S18_1589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42"/>
    <n v="100"/>
    <n v="2"/>
    <x v="525"/>
    <d v="2003-11-12T00:00:00"/>
    <s v="Shipped"/>
    <n v="4"/>
    <n v="11"/>
    <x v="0"/>
    <x v="1"/>
    <n v="124"/>
    <s v="S18_1589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29"/>
    <n v="100"/>
    <n v="7"/>
    <x v="526"/>
    <d v="2003-11-20T00:00:00"/>
    <s v="Shipped"/>
    <n v="4"/>
    <n v="11"/>
    <x v="0"/>
    <x v="1"/>
    <n v="124"/>
    <s v="S18_158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0"/>
    <n v="100"/>
    <n v="13"/>
    <x v="527"/>
    <d v="2003-12-02T00:00:00"/>
    <s v="Shipped"/>
    <n v="4"/>
    <n v="12"/>
    <x v="0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38"/>
    <n v="100"/>
    <n v="6"/>
    <x v="528"/>
    <d v="2004-01-16T00:00:00"/>
    <s v="Shipped"/>
    <n v="1"/>
    <n v="1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38"/>
    <n v="100"/>
    <n v="4"/>
    <x v="529"/>
    <d v="2004-02-26T00:00:00"/>
    <s v="Shipped"/>
    <n v="1"/>
    <n v="2"/>
    <x v="1"/>
    <x v="1"/>
    <n v="124"/>
    <s v="S18_1589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21"/>
    <n v="100"/>
    <n v="11"/>
    <x v="530"/>
    <d v="2004-04-13T00:00:00"/>
    <s v="Shipped"/>
    <n v="2"/>
    <n v="4"/>
    <x v="1"/>
    <x v="1"/>
    <n v="124"/>
    <s v="S18_1589"/>
    <s v="Mini Caravy"/>
    <s v="88.60.1555"/>
    <s v="24, place Kluber"/>
    <m/>
    <s v="Strasbourg"/>
    <m/>
    <n v="67000"/>
    <x v="1"/>
    <s v="EMEA"/>
    <s v="Citeaux"/>
    <s v="Frederique"/>
    <s v="Small"/>
  </r>
  <r>
    <n v="10253"/>
    <n v="24"/>
    <n v="100"/>
    <n v="1"/>
    <x v="531"/>
    <d v="2004-06-01T00:00:00"/>
    <s v="Cancelled"/>
    <n v="2"/>
    <n v="6"/>
    <x v="1"/>
    <x v="1"/>
    <n v="124"/>
    <s v="S18_158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36"/>
    <n v="100"/>
    <n v="2"/>
    <x v="532"/>
    <d v="2004-07-06T00:00:00"/>
    <s v="Shipped"/>
    <n v="3"/>
    <n v="7"/>
    <x v="1"/>
    <x v="1"/>
    <n v="124"/>
    <s v="S18_1589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23"/>
    <n v="100"/>
    <n v="2"/>
    <x v="533"/>
    <d v="2004-08-06T00:00:00"/>
    <s v="Shipped"/>
    <n v="3"/>
    <n v="8"/>
    <x v="1"/>
    <x v="1"/>
    <n v="124"/>
    <s v="S18_1589"/>
    <s v="Signal Gift Stores"/>
    <n v="7025551838"/>
    <s v="8489 Strong St."/>
    <m/>
    <s v="Las Vegas"/>
    <s v="NV"/>
    <n v="83030"/>
    <x v="0"/>
    <s v="NA"/>
    <s v="King"/>
    <s v="Sue"/>
    <s v="Small"/>
  </r>
  <r>
    <n v="10288"/>
    <n v="20"/>
    <n v="100"/>
    <n v="14"/>
    <x v="534"/>
    <d v="2004-09-01T00:00:00"/>
    <s v="Shipped"/>
    <n v="3"/>
    <n v="9"/>
    <x v="1"/>
    <x v="1"/>
    <n v="124"/>
    <s v="S18_158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32"/>
    <n v="100"/>
    <n v="4"/>
    <x v="535"/>
    <d v="2003-10-05T00:00:00"/>
    <s v="Shipped"/>
    <n v="4"/>
    <n v="10"/>
    <x v="0"/>
    <x v="1"/>
    <n v="124"/>
    <s v="S18_158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29"/>
    <n v="100"/>
    <n v="9"/>
    <x v="536"/>
    <d v="2004-10-16T00:00:00"/>
    <s v="Shipped"/>
    <n v="4"/>
    <n v="10"/>
    <x v="1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44"/>
    <n v="100"/>
    <n v="6"/>
    <x v="537"/>
    <d v="2004-11-04T00:00:00"/>
    <s v="Shipped"/>
    <n v="4"/>
    <n v="11"/>
    <x v="1"/>
    <x v="1"/>
    <n v="124"/>
    <s v="S18_1589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44"/>
    <n v="100"/>
    <n v="14"/>
    <x v="538"/>
    <d v="2004-11-17T00:00:00"/>
    <s v="Shipped"/>
    <n v="4"/>
    <n v="11"/>
    <x v="1"/>
    <x v="1"/>
    <n v="124"/>
    <s v="S18_158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36"/>
    <n v="100"/>
    <n v="4"/>
    <x v="539"/>
    <d v="2004-11-24T00:00:00"/>
    <s v="Shipped"/>
    <n v="4"/>
    <n v="11"/>
    <x v="1"/>
    <x v="1"/>
    <n v="124"/>
    <s v="S18_1589"/>
    <s v="Reims Collectables"/>
    <s v="26.47.1555"/>
    <s v="59 rue de l'Abbaye"/>
    <m/>
    <s v="Reims"/>
    <m/>
    <n v="51100"/>
    <x v="1"/>
    <s v="EMEA"/>
    <s v="Henriot"/>
    <s v="Paul"/>
    <s v="Medium"/>
  </r>
  <r>
    <n v="10367"/>
    <n v="49"/>
    <n v="56.3"/>
    <n v="1"/>
    <x v="540"/>
    <d v="2005-01-12T00:00:00"/>
    <s v="Resolved"/>
    <n v="1"/>
    <n v="1"/>
    <x v="2"/>
    <x v="1"/>
    <n v="124"/>
    <s v="S18_1589"/>
    <s v="Toys4GrownUps.com"/>
    <n v="6265557265"/>
    <s v="78934 Hillside Dr."/>
    <m/>
    <s v="Pasadena"/>
    <s v="CA"/>
    <n v="90003"/>
    <x v="0"/>
    <s v="NA"/>
    <s v="Young"/>
    <s v="Julie"/>
    <s v="Small"/>
  </r>
  <r>
    <n v="10378"/>
    <n v="34"/>
    <n v="42.64"/>
    <n v="5"/>
    <x v="541"/>
    <d v="2005-02-10T00:00:00"/>
    <s v="Shipped"/>
    <n v="1"/>
    <n v="2"/>
    <x v="2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59"/>
    <n v="100"/>
    <n v="11"/>
    <x v="542"/>
    <d v="2005-04-22T00:00:00"/>
    <s v="On Hold"/>
    <n v="2"/>
    <n v="4"/>
    <x v="2"/>
    <x v="1"/>
    <n v="124"/>
    <s v="S18_1589"/>
    <s v="The Sharp Gifts Warehouse"/>
    <n v="4085553659"/>
    <s v="3086 Ingle Ln."/>
    <m/>
    <s v="San Jose"/>
    <s v="CA"/>
    <n v="94217"/>
    <x v="0"/>
    <s v="NA"/>
    <s v="Frick"/>
    <s v="Sue"/>
    <s v="Large"/>
  </r>
  <r>
    <n v="10419"/>
    <n v="37"/>
    <n v="100"/>
    <n v="1"/>
    <x v="543"/>
    <d v="2005-05-17T00:00:00"/>
    <s v="Shipped"/>
    <n v="2"/>
    <n v="5"/>
    <x v="2"/>
    <x v="1"/>
    <n v="124"/>
    <s v="S18_1589"/>
    <s v="Salzburg Collectables"/>
    <s v="6562-9555"/>
    <s v="Geislweg 14"/>
    <m/>
    <s v="Salzburg"/>
    <m/>
    <n v="5020"/>
    <x v="5"/>
    <s v="EMEA"/>
    <s v="Pipps"/>
    <s v="Georg"/>
    <s v="Medium"/>
  </r>
  <r>
    <n v="10106"/>
    <n v="36"/>
    <n v="100"/>
    <n v="12"/>
    <x v="544"/>
    <d v="2003-02-17T00:00:00"/>
    <s v="Shipped"/>
    <n v="1"/>
    <n v="2"/>
    <x v="0"/>
    <x v="4"/>
    <n v="157"/>
    <s v="S18_1662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43"/>
    <n v="100"/>
    <n v="3"/>
    <x v="545"/>
    <d v="2003-04-28T00:00:00"/>
    <s v="Shipped"/>
    <n v="2"/>
    <n v="4"/>
    <x v="0"/>
    <x v="4"/>
    <n v="157"/>
    <s v="S18_1662"/>
    <s v="Salzburg Collectables"/>
    <s v="6562-9555"/>
    <s v="Geislweg 14"/>
    <m/>
    <s v="Salzburg"/>
    <m/>
    <n v="5020"/>
    <x v="5"/>
    <s v="EMEA"/>
    <s v="Pipps"/>
    <s v="Georg"/>
    <s v="Medium"/>
  </r>
  <r>
    <n v="10131"/>
    <n v="21"/>
    <n v="100"/>
    <n v="4"/>
    <x v="546"/>
    <d v="2003-06-16T00:00:00"/>
    <s v="Shipped"/>
    <n v="2"/>
    <n v="6"/>
    <x v="0"/>
    <x v="4"/>
    <n v="157"/>
    <s v="S18_1662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2"/>
    <n v="100"/>
    <n v="7"/>
    <x v="547"/>
    <d v="2003-08-10T00:00:00"/>
    <s v="Shipped"/>
    <n v="3"/>
    <n v="8"/>
    <x v="0"/>
    <x v="4"/>
    <n v="157"/>
    <s v="S18_1662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38"/>
    <n v="100"/>
    <n v="5"/>
    <x v="548"/>
    <d v="2003-10-06T00:00:00"/>
    <s v="Shipped"/>
    <n v="4"/>
    <n v="10"/>
    <x v="0"/>
    <x v="4"/>
    <n v="157"/>
    <s v="S18_1662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3"/>
    <n v="100"/>
    <n v="1"/>
    <x v="549"/>
    <d v="2003-10-23T00:00:00"/>
    <s v="Cancelled"/>
    <n v="4"/>
    <n v="10"/>
    <x v="0"/>
    <x v="4"/>
    <n v="157"/>
    <s v="S18_1662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2"/>
    <n v="100"/>
    <n v="4"/>
    <x v="550"/>
    <d v="2003-11-08T00:00:00"/>
    <s v="Shipped"/>
    <n v="4"/>
    <n v="11"/>
    <x v="0"/>
    <x v="4"/>
    <n v="157"/>
    <s v="S18_1662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32"/>
    <n v="100"/>
    <n v="1"/>
    <x v="551"/>
    <d v="2003-11-14T00:00:00"/>
    <s v="Shipped"/>
    <n v="4"/>
    <n v="11"/>
    <x v="0"/>
    <x v="4"/>
    <n v="157"/>
    <s v="S18_1662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8"/>
    <n v="42"/>
    <n v="100"/>
    <n v="4"/>
    <x v="552"/>
    <d v="2003-11-27T00:00:00"/>
    <s v="Shipped"/>
    <n v="4"/>
    <n v="11"/>
    <x v="0"/>
    <x v="4"/>
    <n v="157"/>
    <s v="S18_1662"/>
    <s v="Cruz &amp; Sons Co."/>
    <s v="+63 2 555 3587"/>
    <s v="15 McCallum Street - NatWest Center #13-03"/>
    <m/>
    <s v="Makati City"/>
    <m/>
    <s v="1227 MM"/>
    <x v="15"/>
    <s v="Japan"/>
    <s v="Cruz"/>
    <s v="Arnold"/>
    <s v="Large"/>
  </r>
  <r>
    <n v="10210"/>
    <n v="31"/>
    <n v="100"/>
    <n v="17"/>
    <x v="553"/>
    <d v="2004-01-12T00:00:00"/>
    <s v="Shipped"/>
    <n v="1"/>
    <n v="1"/>
    <x v="1"/>
    <x v="4"/>
    <n v="157"/>
    <s v="S18_1662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2"/>
    <n v="49"/>
    <n v="100"/>
    <n v="4"/>
    <x v="554"/>
    <d v="2004-02-19T00:00:00"/>
    <s v="Shipped"/>
    <n v="1"/>
    <n v="2"/>
    <x v="1"/>
    <x v="4"/>
    <n v="157"/>
    <s v="S18_1662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50"/>
    <n v="45"/>
    <n v="100"/>
    <n v="14"/>
    <x v="555"/>
    <d v="2004-05-11T00:00:00"/>
    <s v="Shipped"/>
    <n v="2"/>
    <n v="5"/>
    <x v="1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s v="Large"/>
  </r>
  <r>
    <n v="10262"/>
    <n v="49"/>
    <n v="100"/>
    <n v="9"/>
    <x v="556"/>
    <d v="2004-06-24T00:00:00"/>
    <s v="Cancelled"/>
    <n v="2"/>
    <n v="6"/>
    <x v="1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41"/>
    <n v="100"/>
    <n v="1"/>
    <x v="557"/>
    <d v="2004-07-21T00:00:00"/>
    <s v="Shipped"/>
    <n v="3"/>
    <n v="7"/>
    <x v="1"/>
    <x v="4"/>
    <n v="157"/>
    <s v="S18_1662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284"/>
    <n v="45"/>
    <n v="100"/>
    <n v="11"/>
    <x v="558"/>
    <d v="2004-08-21T00:00:00"/>
    <s v="Shipped"/>
    <n v="3"/>
    <n v="8"/>
    <x v="1"/>
    <x v="4"/>
    <n v="157"/>
    <s v="S18_1662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6"/>
    <n v="36"/>
    <n v="100"/>
    <n v="7"/>
    <x v="559"/>
    <d v="2004-09-15T00:00:00"/>
    <s v="Shipped"/>
    <n v="3"/>
    <n v="9"/>
    <x v="1"/>
    <x v="4"/>
    <n v="157"/>
    <s v="S18_1662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7"/>
    <n v="39"/>
    <n v="100"/>
    <n v="1"/>
    <x v="560"/>
    <d v="2004-10-14T00:00:00"/>
    <s v="Shipped"/>
    <n v="4"/>
    <n v="10"/>
    <x v="1"/>
    <x v="4"/>
    <n v="157"/>
    <s v="S18_1662"/>
    <s v="Classic Gift Ideas, Inc"/>
    <n v="2155554695"/>
    <s v="782 First Street"/>
    <m/>
    <s v="Philadelphia"/>
    <s v="PA"/>
    <n v="71270"/>
    <x v="0"/>
    <s v="NA"/>
    <s v="Cervantes"/>
    <s v="Francisca"/>
    <s v="Large"/>
  </r>
  <r>
    <n v="10316"/>
    <n v="27"/>
    <n v="100"/>
    <n v="9"/>
    <x v="561"/>
    <d v="2004-11-01T00:00:00"/>
    <s v="Shipped"/>
    <n v="4"/>
    <n v="11"/>
    <x v="1"/>
    <x v="4"/>
    <n v="157"/>
    <s v="S18_1662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5"/>
    <n v="100"/>
    <n v="6"/>
    <x v="562"/>
    <d v="2004-11-10T00:00:00"/>
    <s v="Resolved"/>
    <n v="4"/>
    <n v="11"/>
    <x v="1"/>
    <x v="4"/>
    <n v="157"/>
    <s v="S18_1662"/>
    <s v="Danish Wholesale Imports"/>
    <s v="31 12 3555"/>
    <s v="Vinb'ltet 34"/>
    <m/>
    <s v="Kobenhavn"/>
    <m/>
    <n v="1734"/>
    <x v="13"/>
    <s v="EMEA"/>
    <s v="Petersen"/>
    <s v="Jytte"/>
    <s v="Small"/>
  </r>
  <r>
    <n v="10338"/>
    <n v="41"/>
    <n v="100"/>
    <n v="1"/>
    <x v="563"/>
    <d v="2004-11-22T00:00:00"/>
    <s v="Shipped"/>
    <n v="4"/>
    <n v="11"/>
    <x v="1"/>
    <x v="4"/>
    <n v="157"/>
    <s v="S18_1662"/>
    <s v="Royale Belge"/>
    <s v="(071) 23 67 2555"/>
    <s v="Boulevard Tirou, 255"/>
    <m/>
    <s v="Charleroi"/>
    <m/>
    <s v="B-6000"/>
    <x v="14"/>
    <s v="EMEA"/>
    <s v="Cartrain"/>
    <s v="Pascale"/>
    <s v="Medium"/>
  </r>
  <r>
    <n v="10351"/>
    <n v="39"/>
    <n v="99.52"/>
    <n v="1"/>
    <x v="564"/>
    <d v="2004-12-03T00:00:00"/>
    <s v="Shipped"/>
    <n v="4"/>
    <n v="12"/>
    <x v="1"/>
    <x v="4"/>
    <n v="157"/>
    <s v="S18_1662"/>
    <s v="Stylish Desk Decors, Co."/>
    <s v="(171) 555-0297"/>
    <s v="35 King George"/>
    <m/>
    <s v="London"/>
    <m/>
    <s v="WX3 6FW"/>
    <x v="6"/>
    <s v="EMEA"/>
    <s v="Brown"/>
    <s v="Ann"/>
    <s v="Medium"/>
  </r>
  <r>
    <n v="10373"/>
    <n v="28"/>
    <n v="57.55"/>
    <n v="4"/>
    <x v="565"/>
    <d v="2005-01-31T00:00:00"/>
    <s v="Shipped"/>
    <n v="1"/>
    <n v="1"/>
    <x v="2"/>
    <x v="4"/>
    <n v="157"/>
    <s v="S18_1662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25"/>
    <n v="54.57"/>
    <n v="7"/>
    <x v="566"/>
    <d v="2005-03-01T00:00:00"/>
    <s v="Resolved"/>
    <n v="1"/>
    <n v="3"/>
    <x v="2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3"/>
    <n v="100"/>
    <n v="11"/>
    <x v="567"/>
    <d v="2005-03-30T00:00:00"/>
    <s v="Shipped"/>
    <n v="1"/>
    <n v="3"/>
    <x v="2"/>
    <x v="4"/>
    <n v="157"/>
    <s v="S18_1662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34"/>
    <n v="100"/>
    <n v="1"/>
    <x v="568"/>
    <d v="2005-04-01T00:00:00"/>
    <s v="Shipped"/>
    <n v="2"/>
    <n v="4"/>
    <x v="2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s v="Medium"/>
  </r>
  <r>
    <n v="10416"/>
    <n v="24"/>
    <n v="100"/>
    <n v="14"/>
    <x v="569"/>
    <d v="2005-05-10T00:00:00"/>
    <s v="Shipped"/>
    <n v="2"/>
    <n v="5"/>
    <x v="2"/>
    <x v="4"/>
    <n v="157"/>
    <s v="S18_166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0"/>
    <n v="30"/>
    <n v="100"/>
    <n v="3"/>
    <x v="570"/>
    <d v="2003-01-06T00:00:00"/>
    <s v="Shipped"/>
    <n v="1"/>
    <n v="1"/>
    <x v="0"/>
    <x v="3"/>
    <n v="170"/>
    <s v="S18_174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10"/>
    <n v="42"/>
    <n v="100"/>
    <n v="7"/>
    <x v="571"/>
    <d v="2003-03-18T00:00:00"/>
    <s v="Shipped"/>
    <n v="1"/>
    <n v="3"/>
    <x v="0"/>
    <x v="3"/>
    <n v="170"/>
    <s v="S18_1749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1"/>
    <n v="100"/>
    <n v="6"/>
    <x v="572"/>
    <d v="2003-05-21T00:00:00"/>
    <s v="Shipped"/>
    <n v="2"/>
    <n v="5"/>
    <x v="0"/>
    <x v="3"/>
    <n v="170"/>
    <s v="S18_1749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34"/>
    <n v="100"/>
    <n v="11"/>
    <x v="573"/>
    <d v="2003-09-12T00:00:00"/>
    <s v="Shipped"/>
    <n v="3"/>
    <n v="9"/>
    <x v="0"/>
    <x v="3"/>
    <n v="170"/>
    <s v="S18_1749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29"/>
    <n v="100"/>
    <n v="9"/>
    <x v="574"/>
    <d v="2003-10-18T00:00:00"/>
    <s v="Shipped"/>
    <n v="4"/>
    <n v="10"/>
    <x v="0"/>
    <x v="3"/>
    <n v="170"/>
    <s v="S18_1749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24"/>
    <n v="100"/>
    <n v="13"/>
    <x v="118"/>
    <d v="2003-11-05T00:00:00"/>
    <s v="Shipped"/>
    <n v="4"/>
    <n v="11"/>
    <x v="0"/>
    <x v="3"/>
    <n v="170"/>
    <s v="S18_1749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44"/>
    <n v="100"/>
    <n v="10"/>
    <x v="575"/>
    <d v="2003-11-12T00:00:00"/>
    <s v="Shipped"/>
    <n v="4"/>
    <n v="11"/>
    <x v="0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93"/>
    <n v="21"/>
    <n v="100"/>
    <n v="14"/>
    <x v="576"/>
    <d v="2003-11-21T00:00:00"/>
    <s v="Shipped"/>
    <n v="4"/>
    <n v="11"/>
    <x v="0"/>
    <x v="3"/>
    <n v="170"/>
    <s v="S18_1749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4"/>
    <n v="33"/>
    <n v="100"/>
    <n v="4"/>
    <x v="577"/>
    <d v="2003-12-02T00:00:00"/>
    <s v="Shipped"/>
    <n v="4"/>
    <n v="12"/>
    <x v="0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30"/>
    <n v="100"/>
    <n v="7"/>
    <x v="578"/>
    <d v="2004-01-26T00:00:00"/>
    <s v="Shipped"/>
    <n v="1"/>
    <n v="1"/>
    <x v="1"/>
    <x v="3"/>
    <n v="170"/>
    <s v="S18_1749"/>
    <s v="Corrida Auto Replicas, Ltd"/>
    <s v="(91) 555 22 82"/>
    <s v="C/ Araquil, 67"/>
    <m/>
    <s v="Madrid"/>
    <m/>
    <n v="28023"/>
    <x v="7"/>
    <s v="EMEA"/>
    <s v="Sommer"/>
    <s v="Mart¡n"/>
    <s v="Medium"/>
  </r>
  <r>
    <n v="10227"/>
    <n v="26"/>
    <n v="100"/>
    <n v="10"/>
    <x v="579"/>
    <d v="2004-03-02T00:00:00"/>
    <s v="Shipped"/>
    <n v="1"/>
    <n v="3"/>
    <x v="1"/>
    <x v="3"/>
    <n v="170"/>
    <s v="S18_1749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1"/>
    <n v="100"/>
    <n v="2"/>
    <x v="580"/>
    <d v="2004-04-13T00:00:00"/>
    <s v="Shipped"/>
    <n v="2"/>
    <n v="4"/>
    <x v="1"/>
    <x v="3"/>
    <n v="170"/>
    <s v="S18_1749"/>
    <s v="Mini Caravy"/>
    <s v="88.60.1555"/>
    <s v="24, place Kluber"/>
    <m/>
    <s v="Strasbourg"/>
    <m/>
    <n v="67000"/>
    <x v="1"/>
    <s v="EMEA"/>
    <s v="Citeaux"/>
    <s v="Frederique"/>
    <s v="Large"/>
  </r>
  <r>
    <n v="10280"/>
    <n v="26"/>
    <n v="100"/>
    <n v="16"/>
    <x v="581"/>
    <d v="2004-08-17T00:00:00"/>
    <s v="Shipped"/>
    <n v="3"/>
    <n v="8"/>
    <x v="1"/>
    <x v="3"/>
    <n v="170"/>
    <s v="S18_1749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2"/>
    <n v="100"/>
    <n v="5"/>
    <x v="582"/>
    <d v="2004-09-01T00:00:00"/>
    <s v="Shipped"/>
    <n v="3"/>
    <n v="9"/>
    <x v="1"/>
    <x v="3"/>
    <n v="170"/>
    <s v="S18_1749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3"/>
    <n v="100"/>
    <n v="1"/>
    <x v="583"/>
    <d v="2003-10-06T00:00:00"/>
    <s v="Shipped"/>
    <n v="4"/>
    <n v="10"/>
    <x v="0"/>
    <x v="3"/>
    <n v="170"/>
    <s v="S18_1749"/>
    <s v="UK Collectables, Ltd."/>
    <s v="(171) 555-2282"/>
    <s v="Berkeley Gardens 12  Brewery"/>
    <m/>
    <s v="Liverpool"/>
    <m/>
    <s v="WX1 6LT"/>
    <x v="6"/>
    <s v="EMEA"/>
    <s v="Devon"/>
    <s v="Elizabeth"/>
    <s v="Large"/>
  </r>
  <r>
    <n v="10312"/>
    <n v="48"/>
    <n v="100"/>
    <n v="17"/>
    <x v="584"/>
    <d v="2004-10-21T00:00:00"/>
    <s v="Shipped"/>
    <n v="4"/>
    <n v="10"/>
    <x v="1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31"/>
    <n v="44"/>
    <n v="74.040000000000006"/>
    <n v="7"/>
    <x v="585"/>
    <d v="2004-11-17T00:00:00"/>
    <s v="Shipped"/>
    <n v="4"/>
    <n v="11"/>
    <x v="1"/>
    <x v="3"/>
    <n v="170"/>
    <s v="S18_1749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4"/>
    <n v="45"/>
    <n v="100"/>
    <n v="1"/>
    <x v="586"/>
    <d v="2004-11-25T00:00:00"/>
    <s v="Shipped"/>
    <n v="4"/>
    <n v="11"/>
    <x v="1"/>
    <x v="3"/>
    <n v="170"/>
    <s v="S18_1749"/>
    <s v="Marseille Mini Autos"/>
    <s v="91.24.4555"/>
    <s v="12, rue des Bouchers"/>
    <m/>
    <s v="Marseille"/>
    <m/>
    <n v="13008"/>
    <x v="1"/>
    <s v="EMEA"/>
    <s v="Lebihan"/>
    <s v="Laurence"/>
    <s v="Large"/>
  </r>
  <r>
    <n v="10367"/>
    <n v="37"/>
    <n v="100"/>
    <n v="3"/>
    <x v="587"/>
    <d v="2005-01-12T00:00:00"/>
    <s v="Resolved"/>
    <n v="1"/>
    <n v="1"/>
    <x v="2"/>
    <x v="3"/>
    <n v="170"/>
    <s v="S18_1749"/>
    <s v="Toys4GrownUps.com"/>
    <n v="6265557265"/>
    <s v="78934 Hillside Dr."/>
    <m/>
    <s v="Pasadena"/>
    <s v="CA"/>
    <n v="90003"/>
    <x v="0"/>
    <s v="NA"/>
    <s v="Young"/>
    <s v="Julie"/>
    <s v="Medium"/>
  </r>
  <r>
    <n v="10379"/>
    <n v="39"/>
    <n v="100"/>
    <n v="2"/>
    <x v="588"/>
    <d v="2005-02-10T00:00:00"/>
    <s v="Shipped"/>
    <n v="1"/>
    <n v="2"/>
    <x v="2"/>
    <x v="3"/>
    <n v="170"/>
    <s v="S18_1749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76"/>
    <n v="100"/>
    <n v="2"/>
    <x v="589"/>
    <d v="2005-04-22T00:00:00"/>
    <s v="On Hold"/>
    <n v="2"/>
    <n v="4"/>
    <x v="2"/>
    <x v="3"/>
    <n v="170"/>
    <s v="S18_1749"/>
    <s v="The Sharp Gifts Warehouse"/>
    <n v="4085553659"/>
    <s v="3086 Ingle Ln."/>
    <m/>
    <s v="San Jose"/>
    <s v="CA"/>
    <n v="94217"/>
    <x v="0"/>
    <s v="NA"/>
    <s v="Frick"/>
    <s v="Sue"/>
    <s v="Large"/>
  </r>
  <r>
    <n v="10420"/>
    <n v="37"/>
    <n v="100"/>
    <n v="5"/>
    <x v="590"/>
    <d v="2005-05-29T00:00:00"/>
    <s v="In Process"/>
    <n v="2"/>
    <n v="5"/>
    <x v="2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8"/>
    <n v="82.39"/>
    <n v="2"/>
    <x v="591"/>
    <d v="2003-03-03T00:00:00"/>
    <s v="Shipped"/>
    <n v="1"/>
    <n v="3"/>
    <x v="0"/>
    <x v="1"/>
    <n v="77"/>
    <s v="S18_1889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72.38"/>
    <n v="6"/>
    <x v="592"/>
    <d v="2003-05-08T00:00:00"/>
    <s v="Shipped"/>
    <n v="2"/>
    <n v="5"/>
    <x v="0"/>
    <x v="1"/>
    <n v="77"/>
    <s v="S18_1889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8"/>
    <n v="79.31"/>
    <n v="3"/>
    <x v="593"/>
    <d v="2003-07-02T00:00:00"/>
    <s v="Shipped"/>
    <n v="3"/>
    <n v="7"/>
    <x v="0"/>
    <x v="1"/>
    <n v="77"/>
    <s v="S18_188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26"/>
    <n v="82.39"/>
    <n v="3"/>
    <x v="594"/>
    <d v="2003-09-05T00:00:00"/>
    <s v="Shipped"/>
    <n v="3"/>
    <n v="9"/>
    <x v="0"/>
    <x v="1"/>
    <n v="77"/>
    <s v="S18_1889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38"/>
    <n v="88.55"/>
    <n v="4"/>
    <x v="595"/>
    <d v="2003-10-11T00:00:00"/>
    <s v="Shipped"/>
    <n v="4"/>
    <n v="10"/>
    <x v="0"/>
    <x v="1"/>
    <n v="77"/>
    <s v="S18_1889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20"/>
    <n v="63.14"/>
    <n v="2"/>
    <x v="596"/>
    <d v="2003-11-04T00:00:00"/>
    <s v="Shipped"/>
    <n v="4"/>
    <n v="11"/>
    <x v="0"/>
    <x v="1"/>
    <n v="77"/>
    <s v="S18_1889"/>
    <s v="Mini Auto Werke"/>
    <s v="7675-3555"/>
    <s v="Kirchgasse 6"/>
    <m/>
    <s v="Graz"/>
    <m/>
    <n v="8010"/>
    <x v="5"/>
    <s v="EMEA"/>
    <s v="Mendel"/>
    <s v="Roland"/>
    <s v="Small"/>
  </r>
  <r>
    <n v="10181"/>
    <n v="22"/>
    <n v="73.92"/>
    <n v="10"/>
    <x v="597"/>
    <d v="2003-11-12T00:00:00"/>
    <s v="Shipped"/>
    <n v="4"/>
    <n v="11"/>
    <x v="0"/>
    <x v="1"/>
    <n v="77"/>
    <s v="S18_1889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45"/>
    <n v="90.86"/>
    <n v="15"/>
    <x v="598"/>
    <d v="2003-11-20T00:00:00"/>
    <s v="Shipped"/>
    <n v="4"/>
    <n v="11"/>
    <x v="0"/>
    <x v="1"/>
    <n v="77"/>
    <s v="S18_188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5"/>
    <n v="85.47"/>
    <n v="4"/>
    <x v="599"/>
    <d v="2003-12-02T00:00:00"/>
    <s v="Shipped"/>
    <n v="4"/>
    <n v="12"/>
    <x v="0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20"/>
    <n v="66.989999999999995"/>
    <n v="14"/>
    <x v="600"/>
    <d v="2004-01-16T00:00:00"/>
    <s v="Shipped"/>
    <n v="1"/>
    <n v="1"/>
    <x v="1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s v="Small"/>
  </r>
  <r>
    <n v="10225"/>
    <n v="47"/>
    <n v="64.680000000000007"/>
    <n v="5"/>
    <x v="601"/>
    <d v="2004-02-22T00:00:00"/>
    <s v="Shipped"/>
    <n v="1"/>
    <n v="2"/>
    <x v="1"/>
    <x v="1"/>
    <n v="77"/>
    <s v="S18_1889"/>
    <s v="Vida Sport, Ltd"/>
    <s v="0897-034555"/>
    <s v="Grenzacherweg 237"/>
    <m/>
    <s v="Gensve"/>
    <m/>
    <n v="1203"/>
    <x v="17"/>
    <s v="EMEA"/>
    <s v="Holz"/>
    <s v="Michael"/>
    <s v="Medium"/>
  </r>
  <r>
    <n v="10239"/>
    <n v="46"/>
    <n v="73.92"/>
    <n v="4"/>
    <x v="602"/>
    <d v="2004-04-12T00:00:00"/>
    <s v="Shipped"/>
    <n v="2"/>
    <n v="4"/>
    <x v="1"/>
    <x v="1"/>
    <n v="77"/>
    <s v="S18_1889"/>
    <s v="Oulu Toy Supplies, Inc."/>
    <s v="981-443655"/>
    <s v="Torikatu 38"/>
    <m/>
    <s v="Oulu"/>
    <m/>
    <n v="90110"/>
    <x v="4"/>
    <s v="EMEA"/>
    <s v="Koskitalo"/>
    <s v="Pirkko"/>
    <s v="Medium"/>
  </r>
  <r>
    <n v="10253"/>
    <n v="23"/>
    <n v="83.93"/>
    <n v="9"/>
    <x v="603"/>
    <d v="2004-06-01T00:00:00"/>
    <s v="Cancelled"/>
    <n v="2"/>
    <n v="6"/>
    <x v="1"/>
    <x v="1"/>
    <n v="77"/>
    <s v="S18_1889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3"/>
    <n v="74.69"/>
    <n v="10"/>
    <x v="604"/>
    <d v="2004-07-06T00:00:00"/>
    <s v="Shipped"/>
    <n v="3"/>
    <n v="7"/>
    <x v="1"/>
    <x v="1"/>
    <n v="77"/>
    <s v="S18_188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29"/>
    <n v="90.86"/>
    <n v="10"/>
    <x v="605"/>
    <d v="2004-08-06T00:00:00"/>
    <s v="Shipped"/>
    <n v="3"/>
    <n v="8"/>
    <x v="1"/>
    <x v="1"/>
    <n v="77"/>
    <s v="S18_1889"/>
    <s v="Signal Gift Stores"/>
    <n v="7025551838"/>
    <s v="8489 Strong St."/>
    <m/>
    <s v="Las Vegas"/>
    <s v="NV"/>
    <n v="83030"/>
    <x v="0"/>
    <s v="NA"/>
    <s v="King"/>
    <s v="Sue"/>
    <s v="Small"/>
  </r>
  <r>
    <n v="10287"/>
    <n v="44"/>
    <n v="82.39"/>
    <n v="8"/>
    <x v="606"/>
    <d v="2004-08-30T00:00:00"/>
    <s v="Shipped"/>
    <n v="3"/>
    <n v="8"/>
    <x v="1"/>
    <x v="1"/>
    <n v="77"/>
    <s v="S18_1889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41"/>
    <n v="92.4"/>
    <n v="1"/>
    <x v="607"/>
    <d v="2003-10-04T00:00:00"/>
    <s v="Shipped"/>
    <n v="4"/>
    <n v="10"/>
    <x v="0"/>
    <x v="1"/>
    <n v="77"/>
    <s v="S18_1889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0"/>
    <n v="91.63"/>
    <n v="6"/>
    <x v="608"/>
    <d v="2004-10-16T00:00:00"/>
    <s v="Shipped"/>
    <n v="4"/>
    <n v="10"/>
    <x v="1"/>
    <x v="1"/>
    <n v="77"/>
    <s v="S18_1889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37"/>
    <n v="78.540000000000006"/>
    <n v="14"/>
    <x v="609"/>
    <d v="2004-11-04T00:00:00"/>
    <s v="Shipped"/>
    <n v="4"/>
    <n v="11"/>
    <x v="1"/>
    <x v="1"/>
    <n v="77"/>
    <s v="S18_1889"/>
    <s v="FunGiftIdeas.com"/>
    <n v="5085552555"/>
    <s v="1785 First Street"/>
    <m/>
    <s v="New Bedford"/>
    <s v="MA"/>
    <n v="50553"/>
    <x v="0"/>
    <s v="NA"/>
    <s v="Benitez"/>
    <s v="Violeta"/>
    <s v="Small"/>
  </r>
  <r>
    <n v="10329"/>
    <n v="29"/>
    <n v="100"/>
    <n v="9"/>
    <x v="610"/>
    <d v="2004-11-15T00:00:00"/>
    <s v="Shipped"/>
    <n v="4"/>
    <n v="11"/>
    <x v="1"/>
    <x v="1"/>
    <n v="77"/>
    <s v="S18_1889"/>
    <s v="Land of Toys Inc."/>
    <n v="2125557818"/>
    <s v="897 Long Airport Avenue"/>
    <m/>
    <s v="NYC"/>
    <s v="NY"/>
    <n v="10022"/>
    <x v="0"/>
    <s v="NA"/>
    <s v="Yu"/>
    <s v="Kwai"/>
    <s v="Small"/>
  </r>
  <r>
    <n v="10342"/>
    <n v="55"/>
    <n v="65.45"/>
    <n v="1"/>
    <x v="611"/>
    <d v="2004-11-24T00:00:00"/>
    <s v="Shipped"/>
    <n v="4"/>
    <n v="11"/>
    <x v="1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63"/>
    <n v="22"/>
    <n v="100"/>
    <n v="7"/>
    <x v="612"/>
    <d v="2005-01-06T00:00:00"/>
    <s v="Shipped"/>
    <n v="1"/>
    <n v="1"/>
    <x v="2"/>
    <x v="1"/>
    <n v="77"/>
    <s v="S18_1889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7"/>
    <n v="31"/>
    <n v="67.760000000000005"/>
    <n v="4"/>
    <x v="613"/>
    <d v="2005-02-09T00:00:00"/>
    <s v="Shipped"/>
    <n v="1"/>
    <n v="2"/>
    <x v="2"/>
    <x v="1"/>
    <n v="77"/>
    <s v="S18_1889"/>
    <s v="Toys of Finland, Co."/>
    <s v="90-224 8555"/>
    <s v="Keskuskatu 45"/>
    <m/>
    <s v="Helsinki"/>
    <m/>
    <n v="21240"/>
    <x v="4"/>
    <s v="EMEA"/>
    <s v="Karttunen"/>
    <s v="Matti"/>
    <s v="Small"/>
  </r>
  <r>
    <n v="10389"/>
    <n v="49"/>
    <n v="79.22"/>
    <n v="3"/>
    <x v="614"/>
    <d v="2005-03-03T00:00:00"/>
    <s v="Shipped"/>
    <n v="1"/>
    <n v="3"/>
    <x v="2"/>
    <x v="1"/>
    <n v="77"/>
    <s v="S18_1889"/>
    <s v="Scandinavian Gift Ideas"/>
    <s v="0695-34 6555"/>
    <s v="?kergatan 24"/>
    <m/>
    <s v="Boras"/>
    <m/>
    <s v="S-844 67"/>
    <x v="8"/>
    <s v="EMEA"/>
    <s v="Larsson"/>
    <s v="Maria"/>
    <s v="Medium"/>
  </r>
  <r>
    <n v="10405"/>
    <n v="61"/>
    <n v="73.92"/>
    <n v="4"/>
    <x v="615"/>
    <d v="2005-04-14T00:00:00"/>
    <s v="Shipped"/>
    <n v="2"/>
    <n v="4"/>
    <x v="2"/>
    <x v="1"/>
    <n v="77"/>
    <s v="S18_1889"/>
    <s v="Mini Caravy"/>
    <s v="88.60.1555"/>
    <s v="24, place Kluber"/>
    <m/>
    <s v="Strasbourg"/>
    <m/>
    <n v="67000"/>
    <x v="1"/>
    <s v="EMEA"/>
    <s v="Citeaux"/>
    <s v="Frederique"/>
    <s v="Medium"/>
  </r>
  <r>
    <n v="10419"/>
    <n v="39"/>
    <n v="83.93"/>
    <n v="9"/>
    <x v="616"/>
    <d v="2005-05-17T00:00:00"/>
    <s v="Shipped"/>
    <n v="2"/>
    <n v="5"/>
    <x v="2"/>
    <x v="1"/>
    <n v="77"/>
    <s v="S18_1889"/>
    <s v="Salzburg Collectables"/>
    <s v="6562-9555"/>
    <s v="Geislweg 14"/>
    <m/>
    <s v="Salzburg"/>
    <m/>
    <n v="5020"/>
    <x v="5"/>
    <s v="EMEA"/>
    <s v="Pipps"/>
    <s v="Georg"/>
    <s v="Medium"/>
  </r>
  <r>
    <n v="10109"/>
    <n v="38"/>
    <n v="100"/>
    <n v="3"/>
    <x v="617"/>
    <d v="2003-03-10T00:00:00"/>
    <s v="Shipped"/>
    <n v="1"/>
    <n v="3"/>
    <x v="0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2"/>
    <n v="31"/>
    <n v="100"/>
    <n v="1"/>
    <x v="618"/>
    <d v="2003-05-08T00:00:00"/>
    <s v="Shipped"/>
    <n v="2"/>
    <n v="5"/>
    <x v="0"/>
    <x v="1"/>
    <n v="142"/>
    <s v="S18_1984"/>
    <s v="Marseille Mini Autos"/>
    <s v="91.24.4555"/>
    <s v="12, rue des Bouchers"/>
    <m/>
    <s v="Marseille"/>
    <m/>
    <n v="13008"/>
    <x v="1"/>
    <s v="EMEA"/>
    <s v="Lebihan"/>
    <s v="Laurence"/>
    <s v="Medium"/>
  </r>
  <r>
    <n v="10136"/>
    <n v="36"/>
    <n v="100"/>
    <n v="1"/>
    <x v="619"/>
    <d v="2003-07-04T00:00:00"/>
    <s v="Shipped"/>
    <n v="3"/>
    <n v="7"/>
    <x v="0"/>
    <x v="1"/>
    <n v="142"/>
    <s v="S18_1984"/>
    <s v="Alpha Cognac"/>
    <s v="61.77.6555"/>
    <s v="1 rue Alsace-Lorraine"/>
    <m/>
    <s v="Toulouse"/>
    <m/>
    <n v="31000"/>
    <x v="1"/>
    <s v="EMEA"/>
    <s v="Roulet"/>
    <s v="Annette"/>
    <s v="Medium"/>
  </r>
  <r>
    <n v="10148"/>
    <n v="25"/>
    <n v="100"/>
    <n v="12"/>
    <x v="620"/>
    <d v="2003-09-11T00:00:00"/>
    <s v="Shipped"/>
    <n v="3"/>
    <n v="9"/>
    <x v="0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48"/>
    <n v="100"/>
    <n v="11"/>
    <x v="621"/>
    <d v="2003-10-17T00:00:00"/>
    <s v="Shipped"/>
    <n v="4"/>
    <n v="10"/>
    <x v="0"/>
    <x v="1"/>
    <n v="142"/>
    <s v="S18_1984"/>
    <s v="Heintze Collectables"/>
    <s v="86 21 3555"/>
    <s v="Smagsloget 45"/>
    <m/>
    <s v="Aaarhus"/>
    <m/>
    <n v="8200"/>
    <x v="13"/>
    <s v="EMEA"/>
    <s v="Ibsen"/>
    <s v="Palle"/>
    <s v="Medium"/>
  </r>
  <r>
    <n v="10171"/>
    <n v="35"/>
    <n v="100"/>
    <n v="1"/>
    <x v="622"/>
    <d v="2003-11-05T00:00:00"/>
    <s v="Shipped"/>
    <n v="4"/>
    <n v="11"/>
    <x v="0"/>
    <x v="1"/>
    <n v="142"/>
    <s v="S18_1984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81"/>
    <n v="21"/>
    <n v="100"/>
    <n v="5"/>
    <x v="623"/>
    <d v="2003-11-12T00:00:00"/>
    <s v="Shipped"/>
    <n v="4"/>
    <n v="11"/>
    <x v="0"/>
    <x v="1"/>
    <n v="142"/>
    <s v="S18_1984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7"/>
    <n v="100"/>
    <n v="10"/>
    <x v="624"/>
    <d v="2003-11-20T00:00:00"/>
    <s v="Shipped"/>
    <n v="4"/>
    <n v="11"/>
    <x v="0"/>
    <x v="1"/>
    <n v="142"/>
    <s v="S18_1984"/>
    <s v="Online Diecast Creations Co."/>
    <n v="6035558647"/>
    <s v="2304 Long Airport Avenue"/>
    <m/>
    <s v="Nashua"/>
    <s v="NH"/>
    <n v="62005"/>
    <x v="0"/>
    <s v="NA"/>
    <s v="Young"/>
    <s v="Valarie"/>
    <s v="Large"/>
  </r>
  <r>
    <n v="10204"/>
    <n v="38"/>
    <n v="100"/>
    <n v="16"/>
    <x v="625"/>
    <d v="2003-12-02T00:00:00"/>
    <s v="Shipped"/>
    <n v="4"/>
    <n v="12"/>
    <x v="0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1"/>
    <n v="100"/>
    <n v="9"/>
    <x v="626"/>
    <d v="2004-01-16T00:00:00"/>
    <s v="Shipped"/>
    <n v="1"/>
    <n v="1"/>
    <x v="1"/>
    <x v="1"/>
    <n v="142"/>
    <s v="S18_1984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7"/>
    <x v="627"/>
    <d v="2004-02-26T00:00:00"/>
    <s v="Shipped"/>
    <n v="1"/>
    <n v="2"/>
    <x v="1"/>
    <x v="1"/>
    <n v="142"/>
    <s v="S18_1984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0"/>
    <n v="37"/>
    <n v="100"/>
    <n v="2"/>
    <x v="628"/>
    <d v="2004-04-13T00:00:00"/>
    <s v="Shipped"/>
    <n v="2"/>
    <n v="4"/>
    <x v="1"/>
    <x v="1"/>
    <n v="142"/>
    <s v="S18_198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3"/>
    <n v="100"/>
    <n v="4"/>
    <x v="629"/>
    <d v="2004-06-01T00:00:00"/>
    <s v="Cancelled"/>
    <n v="2"/>
    <n v="6"/>
    <x v="1"/>
    <x v="1"/>
    <n v="142"/>
    <s v="S18_1984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49"/>
    <n v="100"/>
    <n v="5"/>
    <x v="630"/>
    <d v="2004-07-06T00:00:00"/>
    <s v="Shipped"/>
    <n v="3"/>
    <n v="7"/>
    <x v="1"/>
    <x v="1"/>
    <n v="142"/>
    <s v="S18_198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29"/>
    <n v="100"/>
    <n v="5"/>
    <x v="631"/>
    <d v="2004-08-06T00:00:00"/>
    <s v="Shipped"/>
    <n v="3"/>
    <n v="8"/>
    <x v="1"/>
    <x v="1"/>
    <n v="142"/>
    <s v="S18_1984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24"/>
    <n v="100"/>
    <n v="3"/>
    <x v="632"/>
    <d v="2004-08-30T00:00:00"/>
    <s v="Shipped"/>
    <n v="3"/>
    <n v="8"/>
    <x v="1"/>
    <x v="1"/>
    <n v="142"/>
    <s v="S18_1984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47"/>
    <n v="100"/>
    <n v="7"/>
    <x v="633"/>
    <d v="2003-10-05T00:00:00"/>
    <s v="Shipped"/>
    <n v="4"/>
    <n v="10"/>
    <x v="0"/>
    <x v="1"/>
    <n v="142"/>
    <s v="S18_1984"/>
    <s v="Norway Gifts By Mail, Co."/>
    <s v="+47 2212 1555"/>
    <s v="Drammensveien 126 A, PB 744 Sentrum"/>
    <m/>
    <s v="Oslo"/>
    <m/>
    <s v="N 0106"/>
    <x v="2"/>
    <s v="EMEA"/>
    <s v="Klaeboe"/>
    <s v="Jan"/>
    <s v="Large"/>
  </r>
  <r>
    <n v="10310"/>
    <n v="24"/>
    <n v="100"/>
    <n v="1"/>
    <x v="634"/>
    <d v="2004-10-16T00:00:00"/>
    <s v="Shipped"/>
    <n v="4"/>
    <n v="10"/>
    <x v="1"/>
    <x v="1"/>
    <n v="142"/>
    <s v="S18_1984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25"/>
    <n v="100"/>
    <n v="9"/>
    <x v="635"/>
    <d v="2004-11-04T00:00:00"/>
    <s v="Shipped"/>
    <n v="4"/>
    <n v="11"/>
    <x v="1"/>
    <x v="1"/>
    <n v="142"/>
    <s v="S18_1984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30"/>
    <n v="32.47"/>
    <n v="8"/>
    <x v="636"/>
    <d v="2004-11-17T00:00:00"/>
    <s v="Shipped"/>
    <n v="4"/>
    <n v="11"/>
    <x v="1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2"/>
    <n v="22"/>
    <n v="100"/>
    <n v="3"/>
    <x v="637"/>
    <d v="2004-11-24T00:00:00"/>
    <s v="Shipped"/>
    <n v="4"/>
    <n v="11"/>
    <x v="1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27"/>
    <n v="64.69"/>
    <n v="2"/>
    <x v="638"/>
    <d v="2004-12-09T00:00:00"/>
    <s v="Shipped"/>
    <n v="4"/>
    <n v="12"/>
    <x v="1"/>
    <x v="1"/>
    <n v="142"/>
    <s v="S18_1984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6"/>
    <n v="34"/>
    <n v="100"/>
    <n v="3"/>
    <x v="639"/>
    <d v="2005-01-10T00:00:00"/>
    <s v="Shipped"/>
    <n v="1"/>
    <n v="1"/>
    <x v="2"/>
    <x v="1"/>
    <n v="142"/>
    <s v="S18_1984"/>
    <s v="Royale Belge"/>
    <s v="(071) 23 67 2555"/>
    <s v="Boulevard Tirou, 255"/>
    <m/>
    <s v="Charleroi"/>
    <m/>
    <s v="B-6000"/>
    <x v="14"/>
    <s v="EMEA"/>
    <s v="Cartrain"/>
    <s v="Pascale"/>
    <s v="Medium"/>
  </r>
  <r>
    <n v="10377"/>
    <n v="36"/>
    <n v="100"/>
    <n v="6"/>
    <x v="640"/>
    <d v="2005-02-09T00:00:00"/>
    <s v="Shipped"/>
    <n v="1"/>
    <n v="2"/>
    <x v="2"/>
    <x v="1"/>
    <n v="142"/>
    <s v="S18_1984"/>
    <s v="Toys of Finland, Co."/>
    <s v="90-224 8555"/>
    <s v="Keskuskatu 45"/>
    <m/>
    <s v="Helsinki"/>
    <m/>
    <n v="21240"/>
    <x v="4"/>
    <s v="EMEA"/>
    <s v="Karttunen"/>
    <s v="Matti"/>
    <s v="Medium"/>
  </r>
  <r>
    <n v="10390"/>
    <n v="34"/>
    <n v="43.05"/>
    <n v="15"/>
    <x v="641"/>
    <d v="2005-03-04T00:00:00"/>
    <s v="Shipped"/>
    <n v="1"/>
    <n v="3"/>
    <x v="2"/>
    <x v="1"/>
    <n v="142"/>
    <s v="S18_198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6"/>
    <n v="48"/>
    <n v="100"/>
    <n v="2"/>
    <x v="642"/>
    <d v="2005-04-15T00:00:00"/>
    <s v="Disputed"/>
    <n v="2"/>
    <n v="4"/>
    <x v="2"/>
    <x v="1"/>
    <n v="142"/>
    <s v="S18_1984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34"/>
    <n v="100"/>
    <n v="4"/>
    <x v="643"/>
    <d v="2005-05-17T00:00:00"/>
    <s v="Shipped"/>
    <n v="2"/>
    <n v="5"/>
    <x v="2"/>
    <x v="1"/>
    <n v="142"/>
    <s v="S18_1984"/>
    <s v="Salzburg Collectables"/>
    <s v="6562-9555"/>
    <s v="Geislweg 14"/>
    <m/>
    <s v="Salzburg"/>
    <m/>
    <n v="5020"/>
    <x v="5"/>
    <s v="EMEA"/>
    <s v="Pipps"/>
    <s v="Georg"/>
    <s v="Medium"/>
  </r>
  <r>
    <n v="10104"/>
    <n v="24"/>
    <n v="100"/>
    <n v="8"/>
    <x v="644"/>
    <d v="2003-01-31T00:00:00"/>
    <s v="Shipped"/>
    <n v="1"/>
    <n v="1"/>
    <x v="0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46"/>
    <n v="100"/>
    <n v="4"/>
    <x v="645"/>
    <d v="2003-04-04T00:00:00"/>
    <s v="Shipped"/>
    <n v="2"/>
    <n v="4"/>
    <x v="0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s v="Large"/>
  </r>
  <r>
    <n v="10127"/>
    <n v="45"/>
    <n v="100"/>
    <n v="10"/>
    <x v="646"/>
    <d v="2003-06-03T00:00:00"/>
    <s v="Shipped"/>
    <n v="2"/>
    <n v="6"/>
    <x v="0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Large"/>
  </r>
  <r>
    <n v="10141"/>
    <n v="39"/>
    <n v="100"/>
    <n v="4"/>
    <x v="647"/>
    <d v="2003-08-01T00:00:00"/>
    <s v="Shipped"/>
    <n v="3"/>
    <n v="8"/>
    <x v="0"/>
    <x v="1"/>
    <n v="163"/>
    <s v="S18_2238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43"/>
    <n v="100"/>
    <n v="2"/>
    <x v="648"/>
    <d v="2003-09-21T00:00:00"/>
    <s v="Shipped"/>
    <n v="3"/>
    <n v="9"/>
    <x v="0"/>
    <x v="1"/>
    <n v="163"/>
    <s v="S18_2238"/>
    <s v="Oulu Toy Supplies, Inc."/>
    <s v="981-443655"/>
    <s v="Torikatu 38"/>
    <m/>
    <s v="Oulu"/>
    <m/>
    <n v="90110"/>
    <x v="4"/>
    <s v="EMEA"/>
    <s v="Koskitalo"/>
    <s v="Pirkko"/>
    <s v="Large"/>
  </r>
  <r>
    <n v="10165"/>
    <n v="29"/>
    <n v="100"/>
    <n v="11"/>
    <x v="649"/>
    <d v="2003-10-22T00:00:00"/>
    <s v="Shipped"/>
    <n v="4"/>
    <n v="10"/>
    <x v="0"/>
    <x v="1"/>
    <n v="163"/>
    <s v="S18_223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20"/>
    <n v="100"/>
    <n v="10"/>
    <x v="650"/>
    <d v="2003-11-06T00:00:00"/>
    <s v="Shipped"/>
    <n v="4"/>
    <n v="11"/>
    <x v="0"/>
    <x v="1"/>
    <n v="163"/>
    <s v="S18_2238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4"/>
    <n v="46"/>
    <n v="100"/>
    <n v="5"/>
    <x v="645"/>
    <d v="2003-11-14T00:00:00"/>
    <s v="Shipped"/>
    <n v="4"/>
    <n v="11"/>
    <x v="0"/>
    <x v="1"/>
    <n v="163"/>
    <s v="S18_2238"/>
    <s v="Iberia Gift Imports, Corp."/>
    <s v="(95) 555 82 82"/>
    <s v="C/ Romero, 33"/>
    <m/>
    <s v="Sevilla"/>
    <m/>
    <n v="41101"/>
    <x v="7"/>
    <s v="EMEA"/>
    <s v="Roel"/>
    <s v="Jose Pedro"/>
    <s v="Large"/>
  </r>
  <r>
    <n v="10195"/>
    <n v="27"/>
    <n v="100"/>
    <n v="5"/>
    <x v="651"/>
    <d v="2003-11-25T00:00:00"/>
    <s v="Shipped"/>
    <n v="4"/>
    <n v="11"/>
    <x v="0"/>
    <x v="1"/>
    <n v="163"/>
    <s v="S18_2238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44"/>
    <n v="100"/>
    <n v="6"/>
    <x v="652"/>
    <d v="2003-12-09T00:00:00"/>
    <s v="Shipped"/>
    <n v="4"/>
    <n v="12"/>
    <x v="0"/>
    <x v="1"/>
    <n v="163"/>
    <s v="S18_2238"/>
    <s v="Diecast Collectables"/>
    <n v="6175552555"/>
    <s v="6251 Ingle Ln."/>
    <m/>
    <s v="Boston"/>
    <s v="MA"/>
    <n v="51003"/>
    <x v="0"/>
    <s v="NA"/>
    <s v="Franco"/>
    <s v="Valarie"/>
    <s v="Large"/>
  </r>
  <r>
    <n v="10219"/>
    <n v="43"/>
    <n v="100"/>
    <n v="1"/>
    <x v="653"/>
    <d v="2004-02-10T00:00:00"/>
    <s v="Shipped"/>
    <n v="1"/>
    <n v="2"/>
    <x v="1"/>
    <x v="1"/>
    <n v="163"/>
    <s v="S18_2238"/>
    <s v="Signal Collectibles Ltd."/>
    <n v="4155554312"/>
    <s v="2793 Furth Circle"/>
    <m/>
    <s v="Brisbane"/>
    <s v="CA"/>
    <n v="94217"/>
    <x v="0"/>
    <s v="NA"/>
    <s v="Taylor"/>
    <s v="Sue"/>
    <s v="Large"/>
  </r>
  <r>
    <n v="10230"/>
    <n v="49"/>
    <n v="100"/>
    <n v="8"/>
    <x v="654"/>
    <d v="2004-03-15T00:00:00"/>
    <s v="Shipped"/>
    <n v="1"/>
    <n v="3"/>
    <x v="1"/>
    <x v="1"/>
    <n v="163"/>
    <s v="S18_2238"/>
    <s v="Blauer See Auto, Co."/>
    <s v="+49 69 66 90 2555"/>
    <s v="Lyonerstr. 34"/>
    <m/>
    <s v="Frankfurt"/>
    <m/>
    <n v="60528"/>
    <x v="16"/>
    <s v="EMEA"/>
    <s v="Keitel"/>
    <s v="Roland"/>
    <s v="Large"/>
  </r>
  <r>
    <n v="10246"/>
    <n v="40"/>
    <n v="100"/>
    <n v="4"/>
    <x v="655"/>
    <d v="2004-05-05T00:00:00"/>
    <s v="Shipped"/>
    <n v="2"/>
    <n v="5"/>
    <x v="1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30"/>
    <n v="100"/>
    <n v="3"/>
    <x v="656"/>
    <d v="2004-06-15T00:00:00"/>
    <s v="Shipped"/>
    <n v="2"/>
    <n v="6"/>
    <x v="1"/>
    <x v="1"/>
    <n v="163"/>
    <s v="S18_2238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4"/>
    <x v="657"/>
    <d v="2004-07-20T00:00:00"/>
    <s v="Shipped"/>
    <n v="3"/>
    <n v="7"/>
    <x v="1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282"/>
    <n v="23"/>
    <n v="100"/>
    <n v="13"/>
    <x v="658"/>
    <d v="2004-08-20T00:00:00"/>
    <s v="Shipped"/>
    <n v="3"/>
    <n v="8"/>
    <x v="1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26"/>
    <n v="100"/>
    <n v="7"/>
    <x v="659"/>
    <d v="2004-09-08T00:00:00"/>
    <s v="Shipped"/>
    <n v="3"/>
    <n v="9"/>
    <x v="1"/>
    <x v="1"/>
    <n v="163"/>
    <s v="S18_2238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27"/>
    <n v="100"/>
    <n v="4"/>
    <x v="660"/>
    <d v="2004-10-13T00:00:00"/>
    <s v="Shipped"/>
    <n v="4"/>
    <n v="10"/>
    <x v="1"/>
    <x v="1"/>
    <n v="163"/>
    <s v="S18_223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42"/>
    <n v="100"/>
    <n v="13"/>
    <x v="661"/>
    <d v="2004-10-22T00:00:00"/>
    <s v="Shipped"/>
    <n v="4"/>
    <n v="10"/>
    <x v="1"/>
    <x v="1"/>
    <n v="163"/>
    <s v="S18_2238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47"/>
    <n v="100"/>
    <n v="8"/>
    <x v="662"/>
    <d v="2004-11-05T00:00:00"/>
    <s v="Shipped"/>
    <n v="4"/>
    <n v="11"/>
    <x v="1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6"/>
    <n v="49"/>
    <n v="100"/>
    <n v="6"/>
    <x v="663"/>
    <d v="2004-11-20T00:00:00"/>
    <s v="Shipped"/>
    <n v="4"/>
    <n v="11"/>
    <x v="1"/>
    <x v="1"/>
    <n v="163"/>
    <s v="S18_2238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349"/>
    <n v="38"/>
    <n v="100"/>
    <n v="8"/>
    <x v="664"/>
    <d v="2004-12-01T00:00:00"/>
    <s v="Shipped"/>
    <n v="4"/>
    <n v="12"/>
    <x v="1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100"/>
    <n v="10"/>
    <x v="665"/>
    <d v="2004-12-10T00:00:00"/>
    <s v="Shipped"/>
    <n v="4"/>
    <n v="12"/>
    <x v="1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25"/>
    <n v="100"/>
    <n v="7"/>
    <x v="666"/>
    <d v="2005-01-23T00:00:00"/>
    <s v="Shipped"/>
    <n v="1"/>
    <n v="1"/>
    <x v="2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2"/>
    <n v="25"/>
    <n v="88"/>
    <n v="5"/>
    <x v="667"/>
    <d v="2005-02-17T00:00:00"/>
    <s v="Shipped"/>
    <n v="1"/>
    <n v="2"/>
    <x v="2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41"/>
    <n v="100"/>
    <n v="4"/>
    <x v="668"/>
    <d v="2005-05-03T00:00:00"/>
    <s v="Shipped"/>
    <n v="2"/>
    <n v="5"/>
    <x v="2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28"/>
    <n v="100"/>
    <n v="3"/>
    <x v="669"/>
    <d v="2005-05-31T00:00:00"/>
    <s v="In Process"/>
    <n v="2"/>
    <n v="5"/>
    <x v="2"/>
    <x v="1"/>
    <n v="163"/>
    <s v="S18_2238"/>
    <s v="La Rochelle Gifts"/>
    <s v="40.67.8555"/>
    <s v="67, rue des Cinquante Otages"/>
    <m/>
    <s v="Nantes"/>
    <m/>
    <n v="44000"/>
    <x v="1"/>
    <s v="EMEA"/>
    <s v="Labrune"/>
    <s v="Janine"/>
    <s v="Medium"/>
  </r>
  <r>
    <n v="10100"/>
    <n v="50"/>
    <n v="67.8"/>
    <n v="2"/>
    <x v="670"/>
    <d v="2003-01-06T00:00:00"/>
    <s v="Shipped"/>
    <n v="1"/>
    <n v="1"/>
    <x v="0"/>
    <x v="3"/>
    <n v="60"/>
    <s v="S18_2248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10"/>
    <n v="32"/>
    <n v="50.25"/>
    <n v="6"/>
    <x v="671"/>
    <d v="2003-03-18T00:00:00"/>
    <s v="Shipped"/>
    <n v="1"/>
    <n v="3"/>
    <x v="0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2"/>
    <n v="53.88"/>
    <n v="5"/>
    <x v="672"/>
    <d v="2003-05-21T00:00:00"/>
    <s v="Shipped"/>
    <n v="2"/>
    <n v="5"/>
    <x v="0"/>
    <x v="3"/>
    <n v="60"/>
    <s v="S18_2248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24"/>
    <n v="62.36"/>
    <n v="10"/>
    <x v="673"/>
    <d v="2003-09-12T00:00:00"/>
    <s v="Shipped"/>
    <n v="3"/>
    <n v="9"/>
    <x v="0"/>
    <x v="3"/>
    <n v="60"/>
    <s v="S18_2248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27"/>
    <n v="69.62"/>
    <n v="8"/>
    <x v="674"/>
    <d v="2003-10-18T00:00:00"/>
    <s v="Shipped"/>
    <n v="4"/>
    <n v="10"/>
    <x v="0"/>
    <x v="3"/>
    <n v="60"/>
    <s v="S18_2248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26"/>
    <n v="57.51"/>
    <n v="12"/>
    <x v="675"/>
    <d v="2003-11-05T00:00:00"/>
    <s v="Shipped"/>
    <n v="4"/>
    <n v="11"/>
    <x v="0"/>
    <x v="3"/>
    <n v="60"/>
    <s v="S18_2248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8"/>
    <n v="61.15"/>
    <n v="9"/>
    <x v="676"/>
    <d v="2003-11-12T00:00:00"/>
    <s v="Shipped"/>
    <n v="4"/>
    <n v="11"/>
    <x v="0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2"/>
    <n v="59.33"/>
    <n v="13"/>
    <x v="677"/>
    <d v="2003-11-21T00:00:00"/>
    <s v="Shipped"/>
    <n v="4"/>
    <n v="11"/>
    <x v="0"/>
    <x v="3"/>
    <n v="60"/>
    <s v="S18_2248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23"/>
    <n v="71.44"/>
    <n v="3"/>
    <x v="678"/>
    <d v="2003-12-02T00:00:00"/>
    <s v="Shipped"/>
    <n v="4"/>
    <n v="12"/>
    <x v="0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21"/>
    <n v="62.96"/>
    <n v="6"/>
    <x v="679"/>
    <d v="2004-01-26T00:00:00"/>
    <s v="Shipped"/>
    <n v="1"/>
    <n v="1"/>
    <x v="1"/>
    <x v="3"/>
    <n v="60"/>
    <s v="S18_2248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8"/>
    <n v="50.85"/>
    <n v="9"/>
    <x v="680"/>
    <d v="2004-03-02T00:00:00"/>
    <s v="Shipped"/>
    <n v="1"/>
    <n v="3"/>
    <x v="1"/>
    <x v="3"/>
    <n v="60"/>
    <s v="S18_2248"/>
    <s v="Saveley &amp; Henriot, Co."/>
    <s v="78.32.5555"/>
    <s v="2, rue du Commerce"/>
    <m/>
    <s v="Lyon"/>
    <m/>
    <n v="69004"/>
    <x v="1"/>
    <s v="EMEA"/>
    <s v="Saveley"/>
    <s v="Mary"/>
    <s v="Small"/>
  </r>
  <r>
    <n v="10241"/>
    <n v="33"/>
    <n v="72.650000000000006"/>
    <n v="1"/>
    <x v="681"/>
    <d v="2004-04-13T00:00:00"/>
    <s v="Shipped"/>
    <n v="2"/>
    <n v="4"/>
    <x v="1"/>
    <x v="3"/>
    <n v="60"/>
    <s v="S18_2248"/>
    <s v="Mini Caravy"/>
    <s v="88.60.1555"/>
    <s v="24, place Kluber"/>
    <m/>
    <s v="Strasbourg"/>
    <m/>
    <n v="67000"/>
    <x v="1"/>
    <s v="EMEA"/>
    <s v="Citeaux"/>
    <s v="Frederique"/>
    <s v="Small"/>
  </r>
  <r>
    <n v="10280"/>
    <n v="25"/>
    <n v="62.96"/>
    <n v="15"/>
    <x v="682"/>
    <d v="2004-08-17T00:00:00"/>
    <s v="Shipped"/>
    <n v="3"/>
    <n v="8"/>
    <x v="1"/>
    <x v="3"/>
    <n v="60"/>
    <s v="S18_2248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28"/>
    <n v="61.75"/>
    <n v="4"/>
    <x v="683"/>
    <d v="2004-09-01T00:00:00"/>
    <s v="Shipped"/>
    <n v="3"/>
    <n v="9"/>
    <x v="1"/>
    <x v="3"/>
    <n v="60"/>
    <s v="S18_224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46"/>
    <n v="49.04"/>
    <n v="2"/>
    <x v="684"/>
    <d v="2004-10-06T00:00:00"/>
    <s v="Shipped"/>
    <n v="4"/>
    <n v="10"/>
    <x v="1"/>
    <x v="3"/>
    <n v="60"/>
    <s v="S18_2248"/>
    <s v="Iberia Gift Imports, Corp."/>
    <s v="(95) 555 82 82"/>
    <s v="C/ Romero, 33"/>
    <m/>
    <s v="Sevilla"/>
    <m/>
    <n v="41101"/>
    <x v="7"/>
    <s v="EMEA"/>
    <s v="Roel"/>
    <s v="Jose Pedro"/>
    <s v="Small"/>
  </r>
  <r>
    <n v="10312"/>
    <n v="30"/>
    <n v="61.15"/>
    <n v="16"/>
    <x v="685"/>
    <d v="2004-10-21T00:00:00"/>
    <s v="Shipped"/>
    <n v="4"/>
    <n v="10"/>
    <x v="1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32"/>
    <n v="38"/>
    <n v="84.25"/>
    <n v="9"/>
    <x v="686"/>
    <d v="2004-11-17T00:00:00"/>
    <s v="Shipped"/>
    <n v="4"/>
    <n v="11"/>
    <x v="1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40"/>
    <n v="56.91"/>
    <n v="2"/>
    <x v="687"/>
    <d v="2004-11-25T00:00:00"/>
    <s v="Shipped"/>
    <n v="4"/>
    <n v="11"/>
    <x v="1"/>
    <x v="3"/>
    <n v="60"/>
    <s v="S18_2248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5"/>
    <n v="100"/>
    <n v="4"/>
    <x v="688"/>
    <d v="2005-01-12T00:00:00"/>
    <s v="Resolved"/>
    <n v="1"/>
    <n v="1"/>
    <x v="2"/>
    <x v="3"/>
    <n v="60"/>
    <s v="S18_2248"/>
    <s v="Toys4GrownUps.com"/>
    <n v="6265557265"/>
    <s v="78934 Hillside Dr."/>
    <m/>
    <s v="Pasadena"/>
    <s v="CA"/>
    <n v="90003"/>
    <x v="0"/>
    <s v="NA"/>
    <s v="Young"/>
    <s v="Julie"/>
    <s v="Large"/>
  </r>
  <r>
    <n v="10379"/>
    <n v="27"/>
    <n v="49.3"/>
    <n v="1"/>
    <x v="689"/>
    <d v="2005-02-10T00:00:00"/>
    <s v="Shipped"/>
    <n v="1"/>
    <n v="2"/>
    <x v="2"/>
    <x v="3"/>
    <n v="60"/>
    <s v="S18_2248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42"/>
    <n v="72.650000000000006"/>
    <n v="1"/>
    <x v="690"/>
    <d v="2005-04-22T00:00:00"/>
    <s v="On Hold"/>
    <n v="2"/>
    <n v="4"/>
    <x v="2"/>
    <x v="3"/>
    <n v="60"/>
    <s v="S18_2248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36"/>
    <n v="63.57"/>
    <n v="4"/>
    <x v="691"/>
    <d v="2005-05-29T00:00:00"/>
    <s v="In Process"/>
    <n v="2"/>
    <n v="5"/>
    <x v="2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9"/>
    <n v="100"/>
    <n v="12"/>
    <x v="692"/>
    <d v="2003-01-31T00:00:00"/>
    <s v="Shipped"/>
    <n v="1"/>
    <n v="1"/>
    <x v="0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</r>
  <r>
    <n v="10114"/>
    <n v="39"/>
    <n v="100"/>
    <n v="3"/>
    <x v="693"/>
    <d v="2003-04-01T00:00:00"/>
    <s v="Shipped"/>
    <n v="2"/>
    <n v="4"/>
    <x v="0"/>
    <x v="2"/>
    <n v="122"/>
    <s v="S18_2319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7"/>
    <n v="45"/>
    <n v="100"/>
    <n v="14"/>
    <x v="694"/>
    <d v="2003-06-03T00:00:00"/>
    <s v="Shipped"/>
    <n v="2"/>
    <n v="6"/>
    <x v="0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7"/>
    <n v="100"/>
    <n v="8"/>
    <x v="695"/>
    <d v="2003-08-01T00:00:00"/>
    <s v="Shipped"/>
    <n v="3"/>
    <n v="8"/>
    <x v="0"/>
    <x v="2"/>
    <n v="122"/>
    <s v="S18_2319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49"/>
    <n v="100"/>
    <n v="6"/>
    <x v="696"/>
    <d v="2003-09-21T00:00:00"/>
    <s v="Shipped"/>
    <n v="3"/>
    <n v="9"/>
    <x v="0"/>
    <x v="2"/>
    <n v="122"/>
    <s v="S18_2319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6"/>
    <n v="100"/>
    <n v="15"/>
    <x v="697"/>
    <d v="2003-10-22T00:00:00"/>
    <s v="Shipped"/>
    <n v="4"/>
    <n v="10"/>
    <x v="0"/>
    <x v="2"/>
    <n v="122"/>
    <s v="S18_2319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48"/>
    <n v="100"/>
    <n v="4"/>
    <x v="698"/>
    <d v="2003-11-06T00:00:00"/>
    <s v="Shipped"/>
    <n v="4"/>
    <n v="11"/>
    <x v="0"/>
    <x v="2"/>
    <n v="122"/>
    <s v="S18_2319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46"/>
    <n v="100"/>
    <n v="9"/>
    <x v="697"/>
    <d v="2003-11-14T00:00:00"/>
    <s v="Shipped"/>
    <n v="4"/>
    <n v="11"/>
    <x v="0"/>
    <x v="2"/>
    <n v="122"/>
    <s v="S18_2319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35"/>
    <n v="100"/>
    <n v="9"/>
    <x v="699"/>
    <d v="2003-11-25T00:00:00"/>
    <s v="Shipped"/>
    <n v="4"/>
    <n v="11"/>
    <x v="0"/>
    <x v="2"/>
    <n v="122"/>
    <s v="S18_2319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43"/>
    <n v="100"/>
    <n v="10"/>
    <x v="700"/>
    <d v="2003-12-09T00:00:00"/>
    <s v="Shipped"/>
    <n v="4"/>
    <n v="12"/>
    <x v="0"/>
    <x v="2"/>
    <n v="122"/>
    <s v="S18_2319"/>
    <s v="Diecast Collectables"/>
    <n v="6175552555"/>
    <s v="6251 Ingle Ln."/>
    <m/>
    <s v="Boston"/>
    <s v="MA"/>
    <n v="51003"/>
    <x v="0"/>
    <s v="NA"/>
    <s v="Franco"/>
    <s v="Valarie"/>
    <s v="Medium"/>
  </r>
  <r>
    <n v="10229"/>
    <n v="26"/>
    <n v="100"/>
    <n v="4"/>
    <x v="701"/>
    <d v="2004-03-11T00:00:00"/>
    <s v="Shipped"/>
    <n v="1"/>
    <n v="3"/>
    <x v="1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22"/>
    <n v="98.18"/>
    <n v="8"/>
    <x v="702"/>
    <d v="2004-05-05T00:00:00"/>
    <s v="Shipped"/>
    <n v="2"/>
    <n v="5"/>
    <x v="1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4"/>
    <n v="99.41"/>
    <n v="7"/>
    <x v="703"/>
    <d v="2004-06-15T00:00:00"/>
    <s v="Shipped"/>
    <n v="2"/>
    <n v="6"/>
    <x v="1"/>
    <x v="2"/>
    <n v="122"/>
    <s v="S18_2319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50"/>
    <n v="100"/>
    <n v="8"/>
    <x v="704"/>
    <d v="2004-07-20T00:00:00"/>
    <s v="Shipped"/>
    <n v="3"/>
    <n v="7"/>
    <x v="1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48"/>
    <n v="100"/>
    <n v="4"/>
    <x v="705"/>
    <d v="2004-08-19T00:00:00"/>
    <s v="Shipped"/>
    <n v="3"/>
    <n v="8"/>
    <x v="1"/>
    <x v="2"/>
    <n v="122"/>
    <s v="S18_2319"/>
    <s v="Diecast Classics Inc."/>
    <n v="2155551555"/>
    <s v="7586 Pompton St."/>
    <m/>
    <s v="Allentown"/>
    <s v="PA"/>
    <n v="70267"/>
    <x v="0"/>
    <s v="NA"/>
    <s v="Yu"/>
    <s v="Kyung"/>
    <s v="Medium"/>
  </r>
  <r>
    <n v="10292"/>
    <n v="41"/>
    <n v="100"/>
    <n v="11"/>
    <x v="706"/>
    <d v="2004-09-08T00:00:00"/>
    <s v="Shipped"/>
    <n v="3"/>
    <n v="9"/>
    <x v="1"/>
    <x v="2"/>
    <n v="122"/>
    <s v="S18_2319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8"/>
    <x v="707"/>
    <d v="2004-10-13T00:00:00"/>
    <s v="Shipped"/>
    <n v="4"/>
    <n v="10"/>
    <x v="1"/>
    <x v="2"/>
    <n v="122"/>
    <s v="S18_2319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29"/>
    <n v="100"/>
    <n v="2"/>
    <x v="708"/>
    <d v="2004-10-22T00:00:00"/>
    <s v="Shipped"/>
    <n v="4"/>
    <n v="10"/>
    <x v="1"/>
    <x v="2"/>
    <n v="122"/>
    <s v="S18_2319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4"/>
    <n v="33"/>
    <n v="37.479999999999997"/>
    <n v="10"/>
    <x v="709"/>
    <d v="2004-11-05T00:00:00"/>
    <s v="Shipped"/>
    <n v="4"/>
    <n v="11"/>
    <x v="1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4"/>
    <n v="46"/>
    <n v="100"/>
    <n v="6"/>
    <x v="710"/>
    <d v="2004-11-19T00:00:00"/>
    <s v="On Hold"/>
    <n v="4"/>
    <n v="11"/>
    <x v="1"/>
    <x v="2"/>
    <n v="122"/>
    <s v="S18_231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9"/>
    <n v="38"/>
    <n v="100"/>
    <n v="7"/>
    <x v="711"/>
    <d v="2004-12-01T00:00:00"/>
    <s v="Shipped"/>
    <n v="4"/>
    <n v="12"/>
    <x v="1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0"/>
    <n v="36.42"/>
    <n v="11"/>
    <x v="712"/>
    <d v="2004-12-10T00:00:00"/>
    <s v="Shipped"/>
    <n v="4"/>
    <n v="12"/>
    <x v="1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Small"/>
  </r>
  <r>
    <n v="10370"/>
    <n v="22"/>
    <n v="100"/>
    <n v="5"/>
    <x v="713"/>
    <d v="2005-01-20T00:00:00"/>
    <s v="Shipped"/>
    <n v="1"/>
    <n v="1"/>
    <x v="2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3"/>
    <n v="27"/>
    <n v="100"/>
    <n v="11"/>
    <x v="714"/>
    <d v="2005-02-22T00:00:00"/>
    <s v="Shipped"/>
    <n v="1"/>
    <n v="2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</r>
  <r>
    <n v="10412"/>
    <n v="56"/>
    <n v="98.18"/>
    <n v="8"/>
    <x v="715"/>
    <d v="2005-05-03T00:00:00"/>
    <s v="Shipped"/>
    <n v="2"/>
    <n v="5"/>
    <x v="2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38"/>
    <n v="99.41"/>
    <n v="7"/>
    <x v="716"/>
    <d v="2005-05-31T00:00:00"/>
    <s v="In Process"/>
    <n v="2"/>
    <n v="5"/>
    <x v="2"/>
    <x v="2"/>
    <n v="122"/>
    <s v="S18_2319"/>
    <s v="La Rochelle Gifts"/>
    <s v="40.67.8555"/>
    <s v="67, rue des Cinquante Otages"/>
    <m/>
    <s v="Nantes"/>
    <m/>
    <n v="44000"/>
    <x v="1"/>
    <s v="EMEA"/>
    <s v="Labrune"/>
    <s v="Janine"/>
    <s v="Medium"/>
  </r>
  <r>
    <n v="10101"/>
    <n v="25"/>
    <n v="100"/>
    <n v="4"/>
    <x v="717"/>
    <d v="2003-01-09T00:00:00"/>
    <s v="Shipped"/>
    <n v="1"/>
    <n v="1"/>
    <x v="0"/>
    <x v="3"/>
    <n v="127"/>
    <s v="S18_2325"/>
    <s v="Blauer See Auto, Co."/>
    <s v="+49 69 66 90 2555"/>
    <s v="Lyonerstr. 34"/>
    <m/>
    <s v="Frankfurt"/>
    <m/>
    <n v="60528"/>
    <x v="16"/>
    <s v="EMEA"/>
    <s v="Keitel"/>
    <s v="Roland"/>
    <s v="Medium"/>
  </r>
  <r>
    <n v="10110"/>
    <n v="33"/>
    <n v="100"/>
    <n v="4"/>
    <x v="718"/>
    <d v="2003-03-18T00:00:00"/>
    <s v="Shipped"/>
    <n v="1"/>
    <n v="3"/>
    <x v="0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42"/>
    <n v="100"/>
    <n v="3"/>
    <x v="719"/>
    <d v="2003-05-21T00:00:00"/>
    <s v="Shipped"/>
    <n v="2"/>
    <n v="5"/>
    <x v="0"/>
    <x v="3"/>
    <n v="127"/>
    <s v="S18_2325"/>
    <s v="Signal Gift Stores"/>
    <n v="7025551838"/>
    <s v="8489 Strong St."/>
    <m/>
    <s v="Las Vegas"/>
    <s v="NV"/>
    <n v="83030"/>
    <x v="0"/>
    <s v="NA"/>
    <s v="King"/>
    <s v="Sue"/>
    <s v="Medium"/>
  </r>
  <r>
    <n v="10149"/>
    <n v="33"/>
    <n v="100"/>
    <n v="8"/>
    <x v="720"/>
    <d v="2003-09-12T00:00:00"/>
    <s v="Shipped"/>
    <n v="3"/>
    <n v="9"/>
    <x v="0"/>
    <x v="3"/>
    <n v="127"/>
    <s v="S18_2325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38"/>
    <n v="100"/>
    <n v="6"/>
    <x v="721"/>
    <d v="2003-10-18T00:00:00"/>
    <s v="Shipped"/>
    <n v="4"/>
    <n v="10"/>
    <x v="0"/>
    <x v="3"/>
    <n v="127"/>
    <s v="S18_2325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31"/>
    <n v="100"/>
    <n v="10"/>
    <x v="722"/>
    <d v="2003-11-05T00:00:00"/>
    <s v="Shipped"/>
    <n v="4"/>
    <n v="11"/>
    <x v="0"/>
    <x v="3"/>
    <n v="127"/>
    <s v="S18_2325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0"/>
    <n v="100"/>
    <n v="7"/>
    <x v="723"/>
    <d v="2003-11-12T00:00:00"/>
    <s v="Shipped"/>
    <n v="4"/>
    <n v="11"/>
    <x v="0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44"/>
    <n v="100"/>
    <n v="11"/>
    <x v="724"/>
    <d v="2003-11-21T00:00:00"/>
    <s v="Shipped"/>
    <n v="4"/>
    <n v="11"/>
    <x v="0"/>
    <x v="3"/>
    <n v="127"/>
    <s v="S18_2325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4"/>
    <n v="26"/>
    <n v="100"/>
    <n v="1"/>
    <x v="725"/>
    <d v="2003-12-02T00:00:00"/>
    <s v="Shipped"/>
    <n v="4"/>
    <n v="12"/>
    <x v="0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4"/>
    <n v="27"/>
    <n v="100"/>
    <n v="4"/>
    <x v="726"/>
    <d v="2004-01-26T00:00:00"/>
    <s v="Shipped"/>
    <n v="1"/>
    <n v="1"/>
    <x v="1"/>
    <x v="3"/>
    <n v="127"/>
    <s v="S18_2325"/>
    <s v="Corrida Auto Replicas, Ltd"/>
    <s v="(91) 555 22 82"/>
    <s v="C/ Araquil, 67"/>
    <m/>
    <s v="Madrid"/>
    <m/>
    <n v="28023"/>
    <x v="7"/>
    <s v="EMEA"/>
    <s v="Sommer"/>
    <s v="Mart¡n"/>
    <s v="Medium"/>
  </r>
  <r>
    <n v="10227"/>
    <n v="46"/>
    <n v="100"/>
    <n v="7"/>
    <x v="727"/>
    <d v="2004-03-02T00:00:00"/>
    <s v="Shipped"/>
    <n v="1"/>
    <n v="3"/>
    <x v="1"/>
    <x v="3"/>
    <n v="127"/>
    <s v="S18_2325"/>
    <s v="Saveley &amp; Henriot, Co."/>
    <s v="78.32.5555"/>
    <s v="2, rue du Commerce"/>
    <m/>
    <s v="Lyon"/>
    <m/>
    <n v="69004"/>
    <x v="1"/>
    <s v="EMEA"/>
    <s v="Saveley"/>
    <s v="Mary"/>
    <s v="Large"/>
  </r>
  <r>
    <n v="10243"/>
    <n v="47"/>
    <n v="100"/>
    <n v="2"/>
    <x v="728"/>
    <d v="2004-04-26T00:00:00"/>
    <s v="Shipped"/>
    <n v="2"/>
    <n v="4"/>
    <x v="1"/>
    <x v="3"/>
    <n v="127"/>
    <s v="S18_2325"/>
    <s v="Diecast Collectables"/>
    <n v="6175552555"/>
    <s v="6251 Ingle Ln."/>
    <m/>
    <s v="Boston"/>
    <s v="MA"/>
    <n v="51003"/>
    <x v="0"/>
    <s v="NA"/>
    <s v="Franco"/>
    <s v="Valarie"/>
    <s v="Medium"/>
  </r>
  <r>
    <n v="10280"/>
    <n v="37"/>
    <n v="100"/>
    <n v="13"/>
    <x v="729"/>
    <d v="2004-08-17T00:00:00"/>
    <s v="Shipped"/>
    <n v="3"/>
    <n v="8"/>
    <x v="1"/>
    <x v="3"/>
    <n v="127"/>
    <s v="S18_2325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1"/>
    <n v="100"/>
    <n v="2"/>
    <x v="730"/>
    <d v="2004-09-01T00:00:00"/>
    <s v="Shipped"/>
    <n v="3"/>
    <n v="9"/>
    <x v="1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4"/>
    <n v="24"/>
    <n v="100"/>
    <n v="17"/>
    <x v="731"/>
    <d v="2004-10-11T00:00:00"/>
    <s v="Shipped"/>
    <n v="4"/>
    <n v="10"/>
    <x v="1"/>
    <x v="3"/>
    <n v="127"/>
    <s v="S18_2325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1"/>
    <n v="100"/>
    <n v="14"/>
    <x v="732"/>
    <d v="2004-10-21T00:00:00"/>
    <s v="Shipped"/>
    <n v="4"/>
    <n v="10"/>
    <x v="1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50"/>
    <n v="100"/>
    <n v="6"/>
    <x v="733"/>
    <d v="2004-11-04T00:00:00"/>
    <s v="Shipped"/>
    <n v="4"/>
    <n v="11"/>
    <x v="1"/>
    <x v="3"/>
    <n v="127"/>
    <s v="S18_2325"/>
    <s v="Online Diecast Creations Co."/>
    <n v="6035558647"/>
    <s v="2304 Long Airport Avenue"/>
    <m/>
    <s v="Nashua"/>
    <s v="NH"/>
    <n v="62005"/>
    <x v="0"/>
    <s v="NA"/>
    <s v="Young"/>
    <s v="Valarie"/>
    <s v="Large"/>
  </r>
  <r>
    <n v="10332"/>
    <n v="35"/>
    <n v="64.69"/>
    <n v="8"/>
    <x v="734"/>
    <d v="2004-11-17T00:00:00"/>
    <s v="Shipped"/>
    <n v="4"/>
    <n v="11"/>
    <x v="1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s v="Small"/>
  </r>
  <r>
    <n v="10344"/>
    <n v="30"/>
    <n v="100"/>
    <n v="3"/>
    <x v="735"/>
    <d v="2004-11-25T00:00:00"/>
    <s v="Shipped"/>
    <n v="4"/>
    <n v="11"/>
    <x v="1"/>
    <x v="3"/>
    <n v="127"/>
    <s v="S18_2325"/>
    <s v="Marseille Mini Autos"/>
    <s v="91.24.4555"/>
    <s v="12, rue des Bouchers"/>
    <m/>
    <s v="Marseille"/>
    <m/>
    <n v="13008"/>
    <x v="1"/>
    <s v="EMEA"/>
    <s v="Lebihan"/>
    <s v="Laurence"/>
    <s v="Medium"/>
  </r>
  <r>
    <n v="10356"/>
    <n v="29"/>
    <n v="100"/>
    <n v="3"/>
    <x v="736"/>
    <d v="2004-12-09T00:00:00"/>
    <s v="Shipped"/>
    <n v="4"/>
    <n v="12"/>
    <x v="1"/>
    <x v="3"/>
    <n v="127"/>
    <s v="S18_2325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7"/>
    <n v="27"/>
    <n v="100"/>
    <n v="5"/>
    <x v="737"/>
    <d v="2005-01-12T00:00:00"/>
    <s v="Resolved"/>
    <n v="1"/>
    <n v="1"/>
    <x v="2"/>
    <x v="3"/>
    <n v="127"/>
    <s v="S18_2325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40"/>
    <n v="100"/>
    <n v="10"/>
    <x v="738"/>
    <d v="2005-02-16T00:00:00"/>
    <s v="Shipped"/>
    <n v="1"/>
    <n v="2"/>
    <x v="2"/>
    <x v="3"/>
    <n v="127"/>
    <s v="S18_2325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1"/>
    <n v="98.99"/>
    <n v="16"/>
    <x v="739"/>
    <d v="2005-03-04T00:00:00"/>
    <s v="Shipped"/>
    <n v="1"/>
    <n v="3"/>
    <x v="2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9"/>
    <n v="6"/>
    <n v="100"/>
    <n v="2"/>
    <x v="740"/>
    <d v="2005-04-23T00:00:00"/>
    <s v="Shipped"/>
    <n v="2"/>
    <n v="4"/>
    <x v="2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100"/>
    <n v="2"/>
    <x v="741"/>
    <d v="2005-05-29T00:00:00"/>
    <s v="In Process"/>
    <n v="2"/>
    <n v="5"/>
    <x v="2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3"/>
    <n v="22"/>
    <n v="54.09"/>
    <n v="2"/>
    <x v="742"/>
    <d v="2003-01-29T00:00:00"/>
    <s v="Shipped"/>
    <n v="1"/>
    <n v="1"/>
    <x v="0"/>
    <x v="2"/>
    <n v="60"/>
    <s v="S18_2432"/>
    <s v="Baane Mini Imports"/>
    <s v="07-98 9555"/>
    <s v="Erling Skakkes gate 78"/>
    <m/>
    <s v="Stavern"/>
    <m/>
    <n v="4110"/>
    <x v="2"/>
    <s v="EMEA"/>
    <s v="Bergulfsen"/>
    <s v="Jonas"/>
    <s v="Small"/>
  </r>
  <r>
    <n v="10114"/>
    <n v="45"/>
    <n v="68.67"/>
    <n v="6"/>
    <x v="743"/>
    <d v="2003-04-01T00:00:00"/>
    <s v="Shipped"/>
    <n v="2"/>
    <n v="4"/>
    <x v="0"/>
    <x v="2"/>
    <n v="60"/>
    <s v="S18_243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3"/>
    <n v="65.02"/>
    <n v="2"/>
    <x v="744"/>
    <d v="2003-05-28T00:00:00"/>
    <s v="Shipped"/>
    <n v="2"/>
    <n v="5"/>
    <x v="0"/>
    <x v="2"/>
    <n v="60"/>
    <s v="S18_2432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46"/>
    <n v="61.99"/>
    <n v="2"/>
    <x v="151"/>
    <d v="2003-07-24T00:00:00"/>
    <s v="Shipped"/>
    <n v="3"/>
    <n v="7"/>
    <x v="0"/>
    <x v="2"/>
    <n v="60"/>
    <s v="S18_2432"/>
    <s v="Technics Stores Inc."/>
    <n v="6505556809"/>
    <s v="9408 Furth Circle"/>
    <m/>
    <s v="Burlingame"/>
    <s v="CA"/>
    <n v="94217"/>
    <x v="0"/>
    <s v="NA"/>
    <s v="Hirano"/>
    <s v="Juri"/>
    <s v="Small"/>
  </r>
  <r>
    <n v="10151"/>
    <n v="39"/>
    <n v="69.28"/>
    <n v="9"/>
    <x v="745"/>
    <d v="2003-09-21T00:00:00"/>
    <s v="Shipped"/>
    <n v="3"/>
    <n v="9"/>
    <x v="0"/>
    <x v="2"/>
    <n v="60"/>
    <s v="S18_2432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31"/>
    <n v="71.099999999999994"/>
    <n v="18"/>
    <x v="746"/>
    <d v="2003-10-22T00:00:00"/>
    <s v="Shipped"/>
    <n v="4"/>
    <n v="10"/>
    <x v="0"/>
    <x v="2"/>
    <n v="60"/>
    <s v="S18_243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41"/>
    <n v="69.28"/>
    <n v="7"/>
    <x v="747"/>
    <d v="2003-11-06T00:00:00"/>
    <s v="Shipped"/>
    <n v="4"/>
    <n v="11"/>
    <x v="0"/>
    <x v="2"/>
    <n v="60"/>
    <s v="S18_2432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4"/>
    <n v="60.16"/>
    <n v="12"/>
    <x v="748"/>
    <d v="2003-11-14T00:00:00"/>
    <s v="Shipped"/>
    <n v="4"/>
    <n v="11"/>
    <x v="0"/>
    <x v="2"/>
    <n v="60"/>
    <s v="S18_2432"/>
    <s v="Iberia Gift Imports, Corp."/>
    <s v="(95) 555 82 82"/>
    <s v="C/ Romero, 33"/>
    <m/>
    <s v="Sevilla"/>
    <m/>
    <n v="41101"/>
    <x v="7"/>
    <s v="EMEA"/>
    <s v="Roel"/>
    <s v="Jose Pedro"/>
    <s v="Small"/>
  </r>
  <r>
    <n v="10194"/>
    <n v="45"/>
    <n v="70.489999999999995"/>
    <n v="2"/>
    <x v="749"/>
    <d v="2003-11-25T00:00:00"/>
    <s v="Shipped"/>
    <n v="4"/>
    <n v="11"/>
    <x v="0"/>
    <x v="2"/>
    <n v="60"/>
    <s v="S18_2432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37"/>
    <n v="69.89"/>
    <n v="13"/>
    <x v="750"/>
    <d v="2003-12-09T00:00:00"/>
    <s v="Shipped"/>
    <n v="4"/>
    <n v="12"/>
    <x v="0"/>
    <x v="2"/>
    <n v="60"/>
    <s v="S18_2432"/>
    <s v="Diecast Collectables"/>
    <n v="6175552555"/>
    <s v="6251 Ingle Ln."/>
    <m/>
    <s v="Boston"/>
    <s v="MA"/>
    <n v="51003"/>
    <x v="0"/>
    <s v="NA"/>
    <s v="Franco"/>
    <s v="Valarie"/>
    <s v="Small"/>
  </r>
  <r>
    <n v="10217"/>
    <n v="35"/>
    <n v="61.38"/>
    <n v="2"/>
    <x v="751"/>
    <d v="2004-02-04T00:00:00"/>
    <s v="Shipped"/>
    <n v="1"/>
    <n v="2"/>
    <x v="1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8"/>
    <n v="59.55"/>
    <n v="7"/>
    <x v="752"/>
    <d v="2004-03-11T00:00:00"/>
    <s v="Shipped"/>
    <n v="1"/>
    <n v="3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30"/>
    <n v="61.99"/>
    <n v="11"/>
    <x v="753"/>
    <d v="2004-05-05T00:00:00"/>
    <s v="Shipped"/>
    <n v="2"/>
    <n v="5"/>
    <x v="1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0"/>
    <n v="49.22"/>
    <n v="10"/>
    <x v="754"/>
    <d v="2004-06-15T00:00:00"/>
    <s v="Shipped"/>
    <n v="2"/>
    <n v="6"/>
    <x v="1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25"/>
    <n v="69.28"/>
    <n v="11"/>
    <x v="755"/>
    <d v="2004-07-20T00:00:00"/>
    <s v="Shipped"/>
    <n v="3"/>
    <n v="7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29"/>
    <n v="57.73"/>
    <n v="7"/>
    <x v="756"/>
    <d v="2004-08-19T00:00:00"/>
    <s v="Shipped"/>
    <n v="3"/>
    <n v="8"/>
    <x v="1"/>
    <x v="2"/>
    <n v="60"/>
    <s v="S18_2432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6"/>
    <n v="57.73"/>
    <n v="2"/>
    <x v="757"/>
    <d v="2004-09-08T00:00:00"/>
    <s v="Shipped"/>
    <n v="3"/>
    <n v="9"/>
    <x v="1"/>
    <x v="2"/>
    <n v="60"/>
    <s v="S18_2432"/>
    <s v="Scandinavian Gift Ideas"/>
    <s v="0695-34 6555"/>
    <s v="?kergatan 24"/>
    <m/>
    <s v="Boras"/>
    <m/>
    <s v="S-844 67"/>
    <x v="8"/>
    <s v="EMEA"/>
    <s v="Larsson"/>
    <s v="Maria"/>
    <s v="Small"/>
  </r>
  <r>
    <n v="10305"/>
    <n v="41"/>
    <n v="53.48"/>
    <n v="11"/>
    <x v="758"/>
    <d v="2004-10-13T00:00:00"/>
    <s v="Shipped"/>
    <n v="4"/>
    <n v="10"/>
    <x v="1"/>
    <x v="2"/>
    <n v="60"/>
    <s v="S18_2432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34"/>
    <n v="52.87"/>
    <n v="5"/>
    <x v="759"/>
    <d v="2004-10-22T00:00:00"/>
    <s v="Shipped"/>
    <n v="4"/>
    <n v="10"/>
    <x v="1"/>
    <x v="2"/>
    <n v="60"/>
    <s v="S18_243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2"/>
    <n v="35"/>
    <n v="61.21"/>
    <n v="11"/>
    <x v="760"/>
    <d v="2004-11-04T00:00:00"/>
    <s v="Shipped"/>
    <n v="4"/>
    <n v="11"/>
    <x v="1"/>
    <x v="2"/>
    <n v="60"/>
    <s v="S18_2432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4"/>
    <n v="34"/>
    <n v="61.38"/>
    <n v="1"/>
    <x v="761"/>
    <d v="2004-11-19T00:00:00"/>
    <s v="On Hold"/>
    <n v="4"/>
    <n v="11"/>
    <x v="1"/>
    <x v="2"/>
    <n v="60"/>
    <s v="S18_2432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47"/>
    <n v="50"/>
    <n v="100"/>
    <n v="8"/>
    <x v="762"/>
    <d v="2004-11-29T00:00:00"/>
    <s v="Shipped"/>
    <n v="4"/>
    <n v="11"/>
    <x v="1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61.99"/>
    <n v="7"/>
    <x v="763"/>
    <d v="2004-12-10T00:00:00"/>
    <s v="Shipped"/>
    <n v="4"/>
    <n v="12"/>
    <x v="1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70"/>
    <n v="22"/>
    <n v="96.86"/>
    <n v="7"/>
    <x v="764"/>
    <d v="2005-01-20T00:00:00"/>
    <s v="Shipped"/>
    <n v="1"/>
    <n v="1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1"/>
    <n v="35"/>
    <n v="48.62"/>
    <n v="7"/>
    <x v="765"/>
    <d v="2005-02-17T00:00:00"/>
    <s v="Shipped"/>
    <n v="1"/>
    <n v="2"/>
    <x v="2"/>
    <x v="2"/>
    <n v="60"/>
    <s v="S18_2432"/>
    <s v="Corporate Gift Ideas Co."/>
    <n v="6505551386"/>
    <s v="7734 Strong St."/>
    <m/>
    <s v="San Francisco"/>
    <s v="CA"/>
    <m/>
    <x v="0"/>
    <s v="NA"/>
    <s v="Brown"/>
    <s v="Julie"/>
    <s v="Small"/>
  </r>
  <r>
    <n v="10391"/>
    <n v="44"/>
    <n v="38.5"/>
    <n v="5"/>
    <x v="766"/>
    <d v="2005-03-09T00:00:00"/>
    <s v="Shipped"/>
    <n v="1"/>
    <n v="3"/>
    <x v="2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12"/>
    <n v="47"/>
    <n v="61.99"/>
    <n v="11"/>
    <x v="767"/>
    <d v="2005-05-03T00:00:00"/>
    <s v="Shipped"/>
    <n v="2"/>
    <n v="5"/>
    <x v="2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19"/>
    <n v="49.22"/>
    <n v="10"/>
    <x v="768"/>
    <d v="2005-05-31T00:00:00"/>
    <s v="In Process"/>
    <n v="2"/>
    <n v="5"/>
    <x v="2"/>
    <x v="2"/>
    <n v="60"/>
    <s v="S18_2432"/>
    <s v="La Rochelle Gifts"/>
    <s v="40.67.8555"/>
    <s v="67, rue des Cinquante Otages"/>
    <m/>
    <s v="Nantes"/>
    <m/>
    <n v="44000"/>
    <x v="1"/>
    <s v="EMEA"/>
    <s v="Labrune"/>
    <s v="Janine"/>
    <s v="Small"/>
  </r>
  <r>
    <n v="10106"/>
    <n v="34"/>
    <n v="90.39"/>
    <n v="2"/>
    <x v="769"/>
    <d v="2003-02-17T00:00:00"/>
    <s v="Shipped"/>
    <n v="1"/>
    <n v="2"/>
    <x v="0"/>
    <x v="4"/>
    <n v="84"/>
    <s v="S18_2581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9"/>
    <n v="71.81"/>
    <n v="8"/>
    <x v="770"/>
    <d v="2003-04-29T00:00:00"/>
    <s v="Shipped"/>
    <n v="2"/>
    <n v="4"/>
    <x v="0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69.27"/>
    <n v="3"/>
    <x v="771"/>
    <d v="2003-06-27T00:00:00"/>
    <s v="Shipped"/>
    <n v="2"/>
    <n v="6"/>
    <x v="0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30"/>
    <n v="85.32"/>
    <n v="14"/>
    <x v="366"/>
    <d v="2003-08-25T00:00:00"/>
    <s v="Shipped"/>
    <n v="3"/>
    <n v="8"/>
    <x v="0"/>
    <x v="4"/>
    <n v="84"/>
    <s v="S18_2581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21"/>
    <n v="70.959999999999994"/>
    <n v="9"/>
    <x v="772"/>
    <d v="2003-10-28T00:00:00"/>
    <s v="Shipped"/>
    <n v="4"/>
    <n v="10"/>
    <x v="0"/>
    <x v="4"/>
    <n v="84"/>
    <s v="S18_2581"/>
    <s v="Technics Stores Inc."/>
    <n v="6505556809"/>
    <s v="9408 Furth Circle"/>
    <m/>
    <s v="Burlingame"/>
    <s v="CA"/>
    <n v="94217"/>
    <x v="0"/>
    <s v="NA"/>
    <s v="Hirano"/>
    <s v="Juri"/>
    <s v="Small"/>
  </r>
  <r>
    <n v="10210"/>
    <n v="50"/>
    <n v="76.88"/>
    <n v="7"/>
    <x v="773"/>
    <d v="2004-01-12T00:00:00"/>
    <s v="Shipped"/>
    <n v="1"/>
    <n v="1"/>
    <x v="1"/>
    <x v="4"/>
    <n v="84"/>
    <s v="S18_2581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47"/>
    <n v="100"/>
    <n v="9"/>
    <x v="774"/>
    <d v="2004-02-20T00:00:00"/>
    <s v="Shipped"/>
    <n v="1"/>
    <n v="2"/>
    <x v="1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4"/>
    <n v="76.03"/>
    <n v="3"/>
    <x v="775"/>
    <d v="2004-04-02T00:00:00"/>
    <s v="Shipped"/>
    <n v="2"/>
    <n v="4"/>
    <x v="1"/>
    <x v="4"/>
    <n v="84"/>
    <s v="S18_258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27"/>
    <n v="98.84"/>
    <n v="4"/>
    <x v="776"/>
    <d v="2004-05-11T00:00:00"/>
    <s v="Shipped"/>
    <n v="2"/>
    <n v="5"/>
    <x v="1"/>
    <x v="4"/>
    <n v="84"/>
    <s v="S18_2581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33"/>
    <n v="86.17"/>
    <n v="10"/>
    <x v="777"/>
    <d v="2004-06-28T00:00:00"/>
    <s v="Shipped"/>
    <n v="2"/>
    <n v="6"/>
    <x v="1"/>
    <x v="4"/>
    <n v="84"/>
    <s v="S18_2581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5"/>
    <n v="90.39"/>
    <n v="9"/>
    <x v="778"/>
    <d v="2004-07-23T00:00:00"/>
    <s v="Shipped"/>
    <n v="3"/>
    <n v="7"/>
    <x v="1"/>
    <x v="4"/>
    <n v="84"/>
    <s v="S18_2581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31"/>
    <n v="71.81"/>
    <n v="1"/>
    <x v="779"/>
    <d v="2004-08-21T00:00:00"/>
    <s v="Shipped"/>
    <n v="3"/>
    <n v="8"/>
    <x v="1"/>
    <x v="4"/>
    <n v="84"/>
    <s v="S18_258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25"/>
    <n v="82.79"/>
    <n v="4"/>
    <x v="780"/>
    <d v="2004-09-16T00:00:00"/>
    <s v="Shipped"/>
    <n v="3"/>
    <n v="9"/>
    <x v="1"/>
    <x v="4"/>
    <n v="84"/>
    <s v="S18_2581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27"/>
    <n v="82.79"/>
    <n v="7"/>
    <x v="781"/>
    <d v="2004-10-15T00:00:00"/>
    <s v="Shipped"/>
    <n v="4"/>
    <n v="10"/>
    <x v="1"/>
    <x v="4"/>
    <n v="84"/>
    <s v="S18_258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31"/>
    <n v="100"/>
    <n v="9"/>
    <x v="782"/>
    <d v="2004-11-02T00:00:00"/>
    <s v="Shipped"/>
    <n v="4"/>
    <n v="11"/>
    <x v="1"/>
    <x v="4"/>
    <n v="84"/>
    <s v="S18_2581"/>
    <s v="Diecast Classics Inc."/>
    <n v="2155551555"/>
    <s v="7586 Pompton St."/>
    <m/>
    <s v="Allentown"/>
    <s v="PA"/>
    <n v="70267"/>
    <x v="0"/>
    <s v="NA"/>
    <s v="Yu"/>
    <s v="Kyung"/>
    <s v="Medium"/>
  </r>
  <r>
    <n v="10327"/>
    <n v="45"/>
    <n v="100"/>
    <n v="8"/>
    <x v="783"/>
    <d v="2004-11-10T00:00:00"/>
    <s v="Resolved"/>
    <n v="4"/>
    <n v="11"/>
    <x v="1"/>
    <x v="4"/>
    <n v="84"/>
    <s v="S18_2581"/>
    <s v="Danish Wholesale Imports"/>
    <s v="31 12 3555"/>
    <s v="Vinb'ltet 34"/>
    <m/>
    <s v="Kobenhavn"/>
    <m/>
    <n v="1734"/>
    <x v="13"/>
    <s v="EMEA"/>
    <s v="Petersen"/>
    <s v="Jytte"/>
    <s v="Medium"/>
  </r>
  <r>
    <n v="10339"/>
    <n v="27"/>
    <n v="100"/>
    <n v="2"/>
    <x v="784"/>
    <d v="2004-11-23T00:00:00"/>
    <s v="Shipped"/>
    <n v="4"/>
    <n v="11"/>
    <x v="1"/>
    <x v="4"/>
    <n v="84"/>
    <s v="S18_2581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3"/>
    <n v="27"/>
    <n v="100"/>
    <n v="1"/>
    <x v="785"/>
    <d v="2004-12-04T00:00:00"/>
    <s v="Shipped"/>
    <n v="4"/>
    <n v="12"/>
    <x v="1"/>
    <x v="4"/>
    <n v="84"/>
    <s v="S18_2581"/>
    <s v="Gift Ideas Corp."/>
    <n v="2035554407"/>
    <s v="2440 Pompton St."/>
    <m/>
    <s v="Glendale"/>
    <s v="CT"/>
    <n v="97561"/>
    <x v="0"/>
    <s v="NA"/>
    <s v="Lewis"/>
    <s v="Dan"/>
    <s v="Medium"/>
  </r>
  <r>
    <n v="10374"/>
    <n v="42"/>
    <n v="69.27"/>
    <n v="2"/>
    <x v="786"/>
    <d v="2005-02-02T00:00:00"/>
    <s v="Shipped"/>
    <n v="1"/>
    <n v="2"/>
    <x v="2"/>
    <x v="4"/>
    <n v="84"/>
    <s v="S18_2581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386"/>
    <n v="21"/>
    <n v="74.77"/>
    <n v="18"/>
    <x v="787"/>
    <d v="2005-03-01T00:00:00"/>
    <s v="Resolved"/>
    <n v="1"/>
    <n v="3"/>
    <x v="2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4"/>
    <n v="76.88"/>
    <n v="15"/>
    <x v="788"/>
    <d v="2005-03-30T00:00:00"/>
    <s v="Shipped"/>
    <n v="1"/>
    <n v="3"/>
    <x v="2"/>
    <x v="4"/>
    <n v="84"/>
    <s v="S18_2581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42"/>
    <n v="76.03"/>
    <n v="3"/>
    <x v="789"/>
    <d v="2005-04-03T00:00:00"/>
    <s v="On Hold"/>
    <n v="2"/>
    <n v="4"/>
    <x v="2"/>
    <x v="4"/>
    <n v="84"/>
    <s v="S18_2581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15"/>
    <n v="98.84"/>
    <n v="4"/>
    <x v="790"/>
    <d v="2005-05-10T00:00:00"/>
    <s v="Shipped"/>
    <n v="2"/>
    <n v="5"/>
    <x v="2"/>
    <x v="4"/>
    <n v="84"/>
    <s v="S18_258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7"/>
    <n v="29"/>
    <n v="70.87"/>
    <n v="6"/>
    <x v="791"/>
    <d v="2003-02-24T00:00:00"/>
    <s v="Shipped"/>
    <n v="1"/>
    <n v="2"/>
    <x v="0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46"/>
    <n v="58.15"/>
    <n v="4"/>
    <x v="792"/>
    <d v="2003-04-29T00:00:00"/>
    <s v="Shipped"/>
    <n v="2"/>
    <n v="4"/>
    <x v="0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30"/>
    <n v="61.78"/>
    <n v="6"/>
    <x v="793"/>
    <d v="2003-07-01T00:00:00"/>
    <s v="Shipped"/>
    <n v="3"/>
    <n v="7"/>
    <x v="0"/>
    <x v="0"/>
    <n v="60"/>
    <s v="S18_2625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145"/>
    <n v="30"/>
    <n v="49.67"/>
    <n v="10"/>
    <x v="794"/>
    <d v="2003-08-25T00:00:00"/>
    <s v="Shipped"/>
    <n v="3"/>
    <n v="8"/>
    <x v="0"/>
    <x v="0"/>
    <n v="60"/>
    <s v="S18_2625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42"/>
    <n v="51.48"/>
    <n v="18"/>
    <x v="795"/>
    <d v="2003-10-10T00:00:00"/>
    <s v="Shipped"/>
    <n v="4"/>
    <n v="10"/>
    <x v="0"/>
    <x v="0"/>
    <n v="60"/>
    <s v="S18_2625"/>
    <s v="Corporate Gift Ideas Co."/>
    <n v="6505551386"/>
    <s v="7734 Strong St."/>
    <m/>
    <s v="San Francisco"/>
    <s v="CA"/>
    <m/>
    <x v="0"/>
    <s v="NA"/>
    <s v="Brown"/>
    <s v="Julie"/>
    <s v="Small"/>
  </r>
  <r>
    <n v="10168"/>
    <n v="46"/>
    <n v="61.18"/>
    <n v="5"/>
    <x v="796"/>
    <d v="2003-10-28T00:00:00"/>
    <s v="Shipped"/>
    <n v="4"/>
    <n v="10"/>
    <x v="0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s v="Small"/>
  </r>
  <r>
    <n v="10180"/>
    <n v="25"/>
    <n v="64.2"/>
    <n v="13"/>
    <x v="797"/>
    <d v="2003-11-11T00:00:00"/>
    <s v="Shipped"/>
    <n v="4"/>
    <n v="11"/>
    <x v="0"/>
    <x v="0"/>
    <n v="60"/>
    <s v="S18_2625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32"/>
    <n v="65.42"/>
    <n v="5"/>
    <x v="798"/>
    <d v="2003-11-18T00:00:00"/>
    <s v="Shipped"/>
    <n v="4"/>
    <n v="11"/>
    <x v="0"/>
    <x v="0"/>
    <n v="60"/>
    <s v="S18_2625"/>
    <s v="Herkku Gifts"/>
    <s v="+47 2267 3215"/>
    <s v="Drammen 121, PR 744 Sentrum"/>
    <m/>
    <s v="Bergen"/>
    <m/>
    <s v="N 5804"/>
    <x v="2"/>
    <s v="EMEA"/>
    <s v="Oeztan"/>
    <s v="Veysel"/>
    <s v="Small"/>
  </r>
  <r>
    <n v="10201"/>
    <n v="30"/>
    <n v="64.81"/>
    <n v="6"/>
    <x v="799"/>
    <d v="2003-12-01T00:00:00"/>
    <s v="Shipped"/>
    <n v="4"/>
    <n v="12"/>
    <x v="0"/>
    <x v="0"/>
    <n v="60"/>
    <s v="S18_2625"/>
    <s v="Mini Wheels Co."/>
    <n v="6505555787"/>
    <s v="5557 North Pendale Street"/>
    <m/>
    <s v="San Francisco"/>
    <s v="CA"/>
    <m/>
    <x v="0"/>
    <s v="NA"/>
    <s v="Murphy"/>
    <s v="Julie"/>
    <s v="Small"/>
  </r>
  <r>
    <n v="10210"/>
    <n v="40"/>
    <n v="49.67"/>
    <n v="3"/>
    <x v="800"/>
    <d v="2004-01-12T00:00:00"/>
    <s v="Shipped"/>
    <n v="1"/>
    <n v="1"/>
    <x v="1"/>
    <x v="0"/>
    <n v="60"/>
    <s v="S18_2625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8"/>
    <n v="60.57"/>
    <n v="5"/>
    <x v="801"/>
    <d v="2004-02-20T00:00:00"/>
    <s v="Shipped"/>
    <n v="1"/>
    <n v="2"/>
    <x v="1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23"/>
    <n v="55.72"/>
    <n v="2"/>
    <x v="802"/>
    <d v="2004-04-03T00:00:00"/>
    <s v="Shipped"/>
    <n v="2"/>
    <n v="4"/>
    <x v="1"/>
    <x v="0"/>
    <n v="60"/>
    <s v="S18_2625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251"/>
    <n v="29"/>
    <n v="61.18"/>
    <n v="6"/>
    <x v="803"/>
    <d v="2004-05-18T00:00:00"/>
    <s v="Shipped"/>
    <n v="2"/>
    <n v="5"/>
    <x v="1"/>
    <x v="0"/>
    <n v="60"/>
    <s v="S18_2625"/>
    <s v="Tekni Collectables Inc."/>
    <n v="2015559350"/>
    <s v="7476 Moss Rd."/>
    <m/>
    <s v="Newark"/>
    <s v="NJ"/>
    <n v="94019"/>
    <x v="0"/>
    <s v="NA"/>
    <s v="Brown"/>
    <s v="William"/>
    <s v="Small"/>
  </r>
  <r>
    <n v="10263"/>
    <n v="34"/>
    <n v="58.75"/>
    <n v="6"/>
    <x v="804"/>
    <d v="2004-06-28T00:00:00"/>
    <s v="Shipped"/>
    <n v="2"/>
    <n v="6"/>
    <x v="1"/>
    <x v="0"/>
    <n v="60"/>
    <s v="S18_2625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7"/>
    <n v="63.6"/>
    <n v="5"/>
    <x v="805"/>
    <d v="2004-07-23T00:00:00"/>
    <s v="Shipped"/>
    <n v="3"/>
    <n v="7"/>
    <x v="1"/>
    <x v="0"/>
    <n v="60"/>
    <s v="S18_2625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20"/>
    <n v="49.06"/>
    <n v="10"/>
    <x v="806"/>
    <d v="2004-08-27T00:00:00"/>
    <s v="Shipped"/>
    <n v="3"/>
    <n v="8"/>
    <x v="1"/>
    <x v="0"/>
    <n v="60"/>
    <s v="S18_2625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8"/>
    <n v="32"/>
    <n v="48.46"/>
    <n v="2"/>
    <x v="807"/>
    <d v="2004-09-27T00:00:00"/>
    <s v="Shipped"/>
    <n v="3"/>
    <n v="9"/>
    <x v="1"/>
    <x v="0"/>
    <n v="60"/>
    <s v="S18_2625"/>
    <s v="Atelier graphique"/>
    <s v="40.32.2555"/>
    <s v="54, rue Royale"/>
    <m/>
    <s v="Nantes"/>
    <m/>
    <n v="44000"/>
    <x v="1"/>
    <s v="EMEA"/>
    <s v="Schmitt"/>
    <s v="Carine"/>
    <s v="Small"/>
  </r>
  <r>
    <n v="10308"/>
    <n v="34"/>
    <n v="52.09"/>
    <n v="3"/>
    <x v="808"/>
    <d v="2004-10-15T00:00:00"/>
    <s v="Shipped"/>
    <n v="4"/>
    <n v="10"/>
    <x v="1"/>
    <x v="0"/>
    <n v="60"/>
    <s v="S18_2625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42"/>
    <n v="52.7"/>
    <n v="5"/>
    <x v="809"/>
    <d v="2004-11-02T00:00:00"/>
    <s v="Shipped"/>
    <n v="4"/>
    <n v="11"/>
    <x v="1"/>
    <x v="0"/>
    <n v="60"/>
    <s v="S18_2625"/>
    <s v="Diecast Classics Inc."/>
    <n v="2155551555"/>
    <s v="7586 Pompton St."/>
    <m/>
    <s v="Allentown"/>
    <s v="PA"/>
    <n v="70267"/>
    <x v="0"/>
    <s v="NA"/>
    <s v="Yu"/>
    <s v="Kyung"/>
    <s v="Small"/>
  </r>
  <r>
    <n v="10329"/>
    <n v="38"/>
    <n v="100"/>
    <n v="12"/>
    <x v="810"/>
    <d v="2004-11-15T00:00:00"/>
    <s v="Shipped"/>
    <n v="4"/>
    <n v="11"/>
    <x v="1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30"/>
    <n v="62.16"/>
    <n v="1"/>
    <x v="811"/>
    <d v="2004-11-23T00:00:00"/>
    <s v="Shipped"/>
    <n v="4"/>
    <n v="11"/>
    <x v="1"/>
    <x v="0"/>
    <n v="60"/>
    <s v="S18_2625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23"/>
    <n v="49.67"/>
    <n v="3"/>
    <x v="812"/>
    <d v="2005-01-05T00:00:00"/>
    <s v="Shipped"/>
    <n v="1"/>
    <n v="1"/>
    <x v="2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s v="Small"/>
  </r>
  <r>
    <n v="10374"/>
    <n v="22"/>
    <n v="53.3"/>
    <n v="4"/>
    <x v="813"/>
    <d v="2005-02-02T00:00:00"/>
    <s v="Shipped"/>
    <n v="1"/>
    <n v="2"/>
    <x v="2"/>
    <x v="0"/>
    <n v="60"/>
    <s v="S18_2625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389"/>
    <n v="39"/>
    <n v="100"/>
    <n v="5"/>
    <x v="814"/>
    <d v="2005-03-03T00:00:00"/>
    <s v="Shipped"/>
    <n v="1"/>
    <n v="3"/>
    <x v="2"/>
    <x v="0"/>
    <n v="60"/>
    <s v="S18_2625"/>
    <s v="Scandinavian Gift Ideas"/>
    <s v="0695-34 6555"/>
    <s v="?kergatan 24"/>
    <m/>
    <s v="Boras"/>
    <m/>
    <s v="S-844 67"/>
    <x v="8"/>
    <s v="EMEA"/>
    <s v="Larsson"/>
    <s v="Maria"/>
    <s v="Medium"/>
  </r>
  <r>
    <n v="10402"/>
    <n v="55"/>
    <n v="55.72"/>
    <n v="2"/>
    <x v="815"/>
    <d v="2005-04-07T00:00:00"/>
    <s v="Shipped"/>
    <n v="2"/>
    <n v="4"/>
    <x v="2"/>
    <x v="0"/>
    <n v="60"/>
    <s v="S18_2625"/>
    <s v="Auto Canal Petit"/>
    <s v="(1) 47.55.6555"/>
    <s v="25, rue Lauriston"/>
    <m/>
    <s v="Paris"/>
    <m/>
    <n v="75016"/>
    <x v="1"/>
    <s v="EMEA"/>
    <s v="Perrier"/>
    <s v="Dominique"/>
    <s v="Medium"/>
  </r>
  <r>
    <n v="10417"/>
    <n v="36"/>
    <n v="61.18"/>
    <n v="6"/>
    <x v="816"/>
    <d v="2005-05-13T00:00:00"/>
    <s v="Disputed"/>
    <n v="2"/>
    <n v="5"/>
    <x v="2"/>
    <x v="0"/>
    <n v="60"/>
    <s v="S18_2625"/>
    <s v="Euro Shopping Channel"/>
    <s v="(91) 555 94 44"/>
    <s v="C/ Moralzarzal, 86"/>
    <m/>
    <s v="Madrid"/>
    <m/>
    <n v="28034"/>
    <x v="7"/>
    <s v="EMEA"/>
    <s v="Freyre"/>
    <s v="Diego"/>
    <s v="Small"/>
  </r>
  <r>
    <n v="10101"/>
    <n v="26"/>
    <n v="100"/>
    <n v="1"/>
    <x v="817"/>
    <d v="2003-01-09T00:00:00"/>
    <s v="Shipped"/>
    <n v="1"/>
    <n v="1"/>
    <x v="0"/>
    <x v="3"/>
    <n v="168"/>
    <s v="S18_2795"/>
    <s v="Blauer See Auto, Co."/>
    <s v="+49 69 66 90 2555"/>
    <s v="Lyonerstr. 34"/>
    <m/>
    <s v="Frankfurt"/>
    <m/>
    <n v="60528"/>
    <x v="16"/>
    <s v="EMEA"/>
    <s v="Keitel"/>
    <s v="Roland"/>
    <s v="Medium"/>
  </r>
  <r>
    <n v="10110"/>
    <n v="31"/>
    <n v="100"/>
    <n v="1"/>
    <x v="818"/>
    <d v="2003-03-18T00:00:00"/>
    <s v="Shipped"/>
    <n v="1"/>
    <n v="3"/>
    <x v="0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s v="Medium"/>
  </r>
  <r>
    <n v="10125"/>
    <n v="34"/>
    <n v="100"/>
    <n v="2"/>
    <x v="819"/>
    <d v="2003-05-21T00:00:00"/>
    <s v="Shipped"/>
    <n v="2"/>
    <n v="5"/>
    <x v="0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9"/>
    <n v="41"/>
    <n v="100"/>
    <n v="8"/>
    <x v="820"/>
    <d v="2003-07-16T00:00:00"/>
    <s v="Shipped"/>
    <n v="3"/>
    <n v="7"/>
    <x v="0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Large"/>
  </r>
  <r>
    <n v="10149"/>
    <n v="23"/>
    <n v="100"/>
    <n v="5"/>
    <x v="821"/>
    <d v="2003-09-12T00:00:00"/>
    <s v="Shipped"/>
    <n v="3"/>
    <n v="9"/>
    <x v="0"/>
    <x v="3"/>
    <n v="168"/>
    <s v="S18_2795"/>
    <s v="Signal Collectibles Ltd."/>
    <n v="4155554312"/>
    <s v="2793 Furth Circle"/>
    <m/>
    <s v="Brisbane"/>
    <s v="CA"/>
    <n v="94217"/>
    <x v="0"/>
    <s v="NA"/>
    <s v="Taylor"/>
    <s v="Sue"/>
    <s v="Medium"/>
  </r>
  <r>
    <n v="10162"/>
    <n v="48"/>
    <n v="100"/>
    <n v="3"/>
    <x v="822"/>
    <d v="2003-10-18T00:00:00"/>
    <s v="Shipped"/>
    <n v="4"/>
    <n v="10"/>
    <x v="0"/>
    <x v="3"/>
    <n v="168"/>
    <s v="S18_2795"/>
    <s v="Corporate Gift Ideas Co."/>
    <n v="6505551386"/>
    <s v="7734 Strong St."/>
    <m/>
    <s v="San Francisco"/>
    <s v="CA"/>
    <m/>
    <x v="0"/>
    <s v="NA"/>
    <s v="Brown"/>
    <s v="Julie"/>
    <s v="Large"/>
  </r>
  <r>
    <n v="10173"/>
    <n v="22"/>
    <n v="100"/>
    <n v="7"/>
    <x v="823"/>
    <d v="2003-11-05T00:00:00"/>
    <s v="Shipped"/>
    <n v="4"/>
    <n v="11"/>
    <x v="0"/>
    <x v="3"/>
    <n v="168"/>
    <s v="S18_2795"/>
    <s v="Rovelli Gifts"/>
    <s v="035-640555"/>
    <s v="Via Ludovico il Moro 22"/>
    <m/>
    <s v="Bergamo"/>
    <m/>
    <n v="24100"/>
    <x v="12"/>
    <s v="EMEA"/>
    <s v="Rovelli"/>
    <s v="Giovanni"/>
    <s v="Medium"/>
  </r>
  <r>
    <n v="10182"/>
    <n v="21"/>
    <n v="100"/>
    <n v="4"/>
    <x v="824"/>
    <d v="2003-11-12T00:00:00"/>
    <s v="Shipped"/>
    <n v="4"/>
    <n v="11"/>
    <x v="0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2"/>
    <n v="100"/>
    <n v="8"/>
    <x v="825"/>
    <d v="2003-11-21T00:00:00"/>
    <s v="Shipped"/>
    <n v="4"/>
    <n v="11"/>
    <x v="0"/>
    <x v="3"/>
    <n v="168"/>
    <s v="S18_2795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05"/>
    <n v="40"/>
    <n v="100"/>
    <n v="3"/>
    <x v="826"/>
    <d v="2003-12-03T00:00:00"/>
    <s v="Shipped"/>
    <n v="4"/>
    <n v="12"/>
    <x v="0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s v="Large"/>
  </r>
  <r>
    <n v="10214"/>
    <n v="50"/>
    <n v="100"/>
    <n v="1"/>
    <x v="827"/>
    <d v="2004-01-26T00:00:00"/>
    <s v="Shipped"/>
    <n v="1"/>
    <n v="1"/>
    <x v="1"/>
    <x v="3"/>
    <n v="168"/>
    <s v="S18_2795"/>
    <s v="Corrida Auto Replicas, Ltd"/>
    <s v="(91) 555 22 82"/>
    <s v="C/ Araquil, 67"/>
    <m/>
    <s v="Madrid"/>
    <m/>
    <n v="28023"/>
    <x v="7"/>
    <s v="EMEA"/>
    <s v="Sommer"/>
    <s v="Mart¡n"/>
    <s v="Large"/>
  </r>
  <r>
    <n v="10227"/>
    <n v="29"/>
    <n v="100"/>
    <n v="4"/>
    <x v="828"/>
    <d v="2004-03-02T00:00:00"/>
    <s v="Shipped"/>
    <n v="1"/>
    <n v="3"/>
    <x v="1"/>
    <x v="3"/>
    <n v="168"/>
    <s v="S18_2795"/>
    <s v="Saveley &amp; Henriot, Co."/>
    <s v="78.32.5555"/>
    <s v="2, rue du Commerce"/>
    <m/>
    <s v="Lyon"/>
    <m/>
    <n v="69004"/>
    <x v="1"/>
    <s v="EMEA"/>
    <s v="Saveley"/>
    <s v="Mary"/>
    <s v="Medium"/>
  </r>
  <r>
    <n v="10244"/>
    <n v="43"/>
    <n v="100"/>
    <n v="8"/>
    <x v="829"/>
    <d v="2004-04-29T00:00:00"/>
    <s v="Shipped"/>
    <n v="2"/>
    <n v="4"/>
    <x v="1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s v="Medium"/>
  </r>
  <r>
    <n v="10255"/>
    <n v="24"/>
    <n v="100"/>
    <n v="1"/>
    <x v="830"/>
    <d v="2004-06-04T00:00:00"/>
    <s v="Shipped"/>
    <n v="2"/>
    <n v="6"/>
    <x v="1"/>
    <x v="3"/>
    <n v="168"/>
    <s v="S18_2795"/>
    <s v="Mini Caravy"/>
    <s v="88.60.1555"/>
    <s v="24, place Kluber"/>
    <m/>
    <s v="Strasbourg"/>
    <m/>
    <n v="67000"/>
    <x v="1"/>
    <s v="EMEA"/>
    <s v="Citeaux"/>
    <s v="Frederique"/>
    <s v="Medium"/>
  </r>
  <r>
    <n v="10280"/>
    <n v="22"/>
    <n v="100"/>
    <n v="10"/>
    <x v="831"/>
    <d v="2004-08-17T00:00:00"/>
    <s v="Shipped"/>
    <n v="3"/>
    <n v="8"/>
    <x v="1"/>
    <x v="3"/>
    <n v="168"/>
    <s v="S18_2795"/>
    <s v="Amica Models &amp; Co."/>
    <s v="011-4988555"/>
    <s v="Via Monte Bianco 34"/>
    <m/>
    <s v="Torino"/>
    <m/>
    <n v="10100"/>
    <x v="12"/>
    <s v="EMEA"/>
    <s v="Accorti"/>
    <s v="Paolo"/>
    <s v="Medium"/>
  </r>
  <r>
    <n v="10289"/>
    <n v="43"/>
    <n v="100"/>
    <n v="3"/>
    <x v="832"/>
    <d v="2004-09-03T00:00:00"/>
    <s v="Shipped"/>
    <n v="3"/>
    <n v="9"/>
    <x v="1"/>
    <x v="3"/>
    <n v="168"/>
    <s v="S18_2795"/>
    <s v="Herkku Gifts"/>
    <s v="+47 2267 3215"/>
    <s v="Drammen 121, PR 744 Sentrum"/>
    <m/>
    <s v="Bergen"/>
    <m/>
    <s v="N 5804"/>
    <x v="2"/>
    <s v="EMEA"/>
    <s v="Oeztan"/>
    <s v="Veysel"/>
    <s v="Large"/>
  </r>
  <r>
    <n v="10304"/>
    <n v="20"/>
    <n v="100"/>
    <n v="14"/>
    <x v="833"/>
    <d v="2004-10-11T00:00:00"/>
    <s v="Shipped"/>
    <n v="4"/>
    <n v="10"/>
    <x v="1"/>
    <x v="3"/>
    <n v="168"/>
    <s v="S18_2795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25"/>
    <n v="100"/>
    <n v="11"/>
    <x v="834"/>
    <d v="2004-10-21T00:00:00"/>
    <s v="Shipped"/>
    <n v="4"/>
    <n v="10"/>
    <x v="1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36"/>
    <n v="100"/>
    <n v="2"/>
    <x v="835"/>
    <d v="2004-11-04T00:00:00"/>
    <s v="Shipped"/>
    <n v="4"/>
    <n v="11"/>
    <x v="1"/>
    <x v="3"/>
    <n v="168"/>
    <s v="S18_279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24"/>
    <n v="52.67"/>
    <n v="1"/>
    <x v="836"/>
    <d v="2004-11-17T00:00:00"/>
    <s v="Shipped"/>
    <n v="4"/>
    <n v="11"/>
    <x v="1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21"/>
    <n v="100"/>
    <n v="6"/>
    <x v="837"/>
    <d v="2004-11-29T00:00:00"/>
    <s v="Shipped"/>
    <n v="4"/>
    <n v="11"/>
    <x v="1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6"/>
    <n v="30"/>
    <n v="100"/>
    <n v="1"/>
    <x v="838"/>
    <d v="2004-12-09T00:00:00"/>
    <s v="Shipped"/>
    <n v="4"/>
    <n v="12"/>
    <x v="1"/>
    <x v="3"/>
    <n v="168"/>
    <s v="S18_2795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7"/>
    <n v="32"/>
    <n v="94.79"/>
    <n v="7"/>
    <x v="839"/>
    <d v="2005-01-12T00:00:00"/>
    <s v="Resolved"/>
    <n v="1"/>
    <n v="1"/>
    <x v="2"/>
    <x v="3"/>
    <n v="168"/>
    <s v="S18_2795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21"/>
    <n v="47.18"/>
    <n v="8"/>
    <x v="840"/>
    <d v="2005-02-16T00:00:00"/>
    <s v="Shipped"/>
    <n v="1"/>
    <n v="2"/>
    <x v="2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26"/>
    <n v="78.11"/>
    <n v="7"/>
    <x v="841"/>
    <d v="2005-03-04T00:00:00"/>
    <s v="Shipped"/>
    <n v="1"/>
    <n v="3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21"/>
    <n v="35"/>
    <n v="100"/>
    <n v="1"/>
    <x v="842"/>
    <d v="2005-05-29T00:00:00"/>
    <s v="In Process"/>
    <n v="2"/>
    <n v="5"/>
    <x v="2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09"/>
    <n v="26"/>
    <n v="100"/>
    <n v="1"/>
    <x v="843"/>
    <d v="2003-03-10T00:00:00"/>
    <s v="Shipped"/>
    <n v="1"/>
    <n v="3"/>
    <x v="0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3"/>
    <n v="46"/>
    <n v="100"/>
    <n v="3"/>
    <x v="844"/>
    <d v="2003-05-20T00:00:00"/>
    <s v="Shipped"/>
    <n v="2"/>
    <n v="5"/>
    <x v="0"/>
    <x v="1"/>
    <n v="132"/>
    <s v="S18_2870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37"/>
    <n v="100"/>
    <n v="3"/>
    <x v="845"/>
    <d v="2003-07-10T00:00:00"/>
    <s v="Shipped"/>
    <n v="3"/>
    <n v="7"/>
    <x v="0"/>
    <x v="1"/>
    <n v="132"/>
    <s v="S18_2870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27"/>
    <n v="100"/>
    <n v="10"/>
    <x v="846"/>
    <d v="2003-09-11T00:00:00"/>
    <s v="Shipped"/>
    <n v="3"/>
    <n v="9"/>
    <x v="0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3"/>
    <n v="100"/>
    <n v="9"/>
    <x v="847"/>
    <d v="2003-10-17T00:00:00"/>
    <s v="Shipped"/>
    <n v="4"/>
    <n v="10"/>
    <x v="0"/>
    <x v="1"/>
    <n v="132"/>
    <s v="S18_2870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39"/>
    <n v="100"/>
    <n v="7"/>
    <x v="848"/>
    <d v="2003-11-05T00:00:00"/>
    <s v="Shipped"/>
    <n v="4"/>
    <n v="11"/>
    <x v="0"/>
    <x v="1"/>
    <n v="132"/>
    <s v="S18_2870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27"/>
    <n v="100"/>
    <n v="3"/>
    <x v="849"/>
    <d v="2003-11-12T00:00:00"/>
    <s v="Shipped"/>
    <n v="4"/>
    <n v="11"/>
    <x v="0"/>
    <x v="1"/>
    <n v="132"/>
    <s v="S18_2870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38"/>
    <n v="100"/>
    <n v="8"/>
    <x v="850"/>
    <d v="2003-11-20T00:00:00"/>
    <s v="Shipped"/>
    <n v="4"/>
    <n v="11"/>
    <x v="0"/>
    <x v="1"/>
    <n v="132"/>
    <s v="S18_2870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27"/>
    <n v="100"/>
    <n v="14"/>
    <x v="851"/>
    <d v="2003-12-02T00:00:00"/>
    <s v="Shipped"/>
    <n v="4"/>
    <n v="12"/>
    <x v="0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0"/>
    <n v="100"/>
    <n v="7"/>
    <x v="852"/>
    <d v="2004-01-16T00:00:00"/>
    <s v="Shipped"/>
    <n v="1"/>
    <n v="1"/>
    <x v="1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4"/>
    <n v="100"/>
    <n v="5"/>
    <x v="853"/>
    <d v="2004-02-26T00:00:00"/>
    <s v="Shipped"/>
    <n v="1"/>
    <n v="2"/>
    <x v="1"/>
    <x v="1"/>
    <n v="132"/>
    <s v="S18_2870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44"/>
    <n v="100"/>
    <n v="12"/>
    <x v="854"/>
    <d v="2004-04-13T00:00:00"/>
    <s v="Shipped"/>
    <n v="2"/>
    <n v="4"/>
    <x v="1"/>
    <x v="1"/>
    <n v="132"/>
    <s v="S18_2870"/>
    <s v="Mini Caravy"/>
    <s v="88.60.1555"/>
    <s v="24, place Kluber"/>
    <m/>
    <s v="Strasbourg"/>
    <m/>
    <n v="67000"/>
    <x v="1"/>
    <s v="EMEA"/>
    <s v="Citeaux"/>
    <s v="Frederique"/>
    <s v="Medium"/>
  </r>
  <r>
    <n v="10253"/>
    <n v="37"/>
    <n v="100"/>
    <n v="2"/>
    <x v="855"/>
    <d v="2004-06-01T00:00:00"/>
    <s v="Cancelled"/>
    <n v="2"/>
    <n v="6"/>
    <x v="1"/>
    <x v="1"/>
    <n v="132"/>
    <s v="S18_2870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0"/>
    <n v="100"/>
    <n v="3"/>
    <x v="856"/>
    <d v="2004-07-06T00:00:00"/>
    <s v="Shipped"/>
    <n v="3"/>
    <n v="7"/>
    <x v="1"/>
    <x v="1"/>
    <n v="132"/>
    <s v="S18_287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9"/>
    <n v="100"/>
    <n v="3"/>
    <x v="857"/>
    <d v="2004-08-06T00:00:00"/>
    <s v="Shipped"/>
    <n v="3"/>
    <n v="8"/>
    <x v="1"/>
    <x v="1"/>
    <n v="132"/>
    <s v="S18_2870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44"/>
    <n v="100"/>
    <n v="1"/>
    <x v="858"/>
    <d v="2004-08-30T00:00:00"/>
    <s v="Shipped"/>
    <n v="3"/>
    <n v="8"/>
    <x v="1"/>
    <x v="1"/>
    <n v="132"/>
    <s v="S18_2870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22"/>
    <n v="100"/>
    <n v="5"/>
    <x v="859"/>
    <d v="2003-10-05T00:00:00"/>
    <s v="Shipped"/>
    <n v="4"/>
    <n v="10"/>
    <x v="0"/>
    <x v="1"/>
    <n v="132"/>
    <s v="S18_2870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43"/>
    <n v="100"/>
    <n v="10"/>
    <x v="860"/>
    <d v="2004-10-16T00:00:00"/>
    <s v="Shipped"/>
    <n v="4"/>
    <n v="10"/>
    <x v="1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7"/>
    <n v="100"/>
    <n v="7"/>
    <x v="861"/>
    <d v="2004-11-04T00:00:00"/>
    <s v="Shipped"/>
    <n v="4"/>
    <n v="11"/>
    <x v="1"/>
    <x v="1"/>
    <n v="132"/>
    <s v="S18_2870"/>
    <s v="FunGiftIdeas.com"/>
    <n v="5085552555"/>
    <s v="1785 First Street"/>
    <m/>
    <s v="New Bedford"/>
    <s v="MA"/>
    <n v="50553"/>
    <x v="0"/>
    <s v="NA"/>
    <s v="Benitez"/>
    <s v="Violeta"/>
    <s v="Small"/>
  </r>
  <r>
    <n v="10331"/>
    <n v="26"/>
    <n v="64.900000000000006"/>
    <n v="10"/>
    <x v="862"/>
    <d v="2004-11-17T00:00:00"/>
    <s v="Shipped"/>
    <n v="4"/>
    <n v="11"/>
    <x v="1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3"/>
    <n v="25"/>
    <n v="52.32"/>
    <n v="3"/>
    <x v="863"/>
    <d v="2004-11-24T00:00:00"/>
    <s v="Shipped"/>
    <n v="4"/>
    <n v="11"/>
    <x v="1"/>
    <x v="1"/>
    <n v="132"/>
    <s v="S18_2870"/>
    <s v="Reims Collectables"/>
    <s v="26.47.1555"/>
    <s v="59 rue de l'Abbaye"/>
    <m/>
    <s v="Reims"/>
    <m/>
    <n v="51100"/>
    <x v="1"/>
    <s v="EMEA"/>
    <s v="Henriot"/>
    <s v="Paul"/>
    <s v="Small"/>
  </r>
  <r>
    <n v="10366"/>
    <n v="49"/>
    <n v="100"/>
    <n v="2"/>
    <x v="864"/>
    <d v="2005-01-10T00:00:00"/>
    <s v="Shipped"/>
    <n v="1"/>
    <n v="1"/>
    <x v="2"/>
    <x v="1"/>
    <n v="132"/>
    <s v="S18_2870"/>
    <s v="Royale Belge"/>
    <s v="(071) 23 67 2555"/>
    <s v="Boulevard Tirou, 255"/>
    <m/>
    <s v="Charleroi"/>
    <m/>
    <s v="B-6000"/>
    <x v="14"/>
    <s v="EMEA"/>
    <s v="Cartrain"/>
    <s v="Pascale"/>
    <s v="Medium"/>
  </r>
  <r>
    <n v="10379"/>
    <n v="29"/>
    <n v="100"/>
    <n v="5"/>
    <x v="865"/>
    <d v="2005-02-10T00:00:00"/>
    <s v="Shipped"/>
    <n v="1"/>
    <n v="2"/>
    <x v="2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41"/>
    <n v="100"/>
    <n v="12"/>
    <x v="866"/>
    <d v="2005-04-22T00:00:00"/>
    <s v="On Hold"/>
    <n v="2"/>
    <n v="4"/>
    <x v="2"/>
    <x v="1"/>
    <n v="132"/>
    <s v="S18_2870"/>
    <s v="The Sharp Gifts Warehouse"/>
    <n v="4085553659"/>
    <s v="3086 Ingle Ln."/>
    <m/>
    <s v="San Jose"/>
    <s v="CA"/>
    <n v="94217"/>
    <x v="0"/>
    <s v="NA"/>
    <s v="Frick"/>
    <s v="Sue"/>
    <s v="Medium"/>
  </r>
  <r>
    <n v="10419"/>
    <n v="55"/>
    <n v="100"/>
    <n v="2"/>
    <x v="867"/>
    <d v="2005-05-17T00:00:00"/>
    <s v="Shipped"/>
    <n v="2"/>
    <n v="5"/>
    <x v="2"/>
    <x v="1"/>
    <n v="132"/>
    <s v="S18_2870"/>
    <s v="Salzburg Collectables"/>
    <s v="6562-9555"/>
    <s v="Geislweg 14"/>
    <m/>
    <s v="Salzburg"/>
    <m/>
    <n v="5020"/>
    <x v="5"/>
    <s v="EMEA"/>
    <s v="Pipps"/>
    <s v="Georg"/>
    <s v="Large"/>
  </r>
  <r>
    <n v="10103"/>
    <n v="27"/>
    <n v="83.07"/>
    <n v="12"/>
    <x v="868"/>
    <d v="2003-01-29T00:00:00"/>
    <s v="Shipped"/>
    <n v="1"/>
    <n v="1"/>
    <x v="0"/>
    <x v="3"/>
    <n v="101"/>
    <s v="S18_2949"/>
    <s v="Baane Mini Imports"/>
    <s v="07-98 9555"/>
    <s v="Erling Skakkes gate 78"/>
    <m/>
    <s v="Stavern"/>
    <m/>
    <n v="4110"/>
    <x v="2"/>
    <s v="EMEA"/>
    <s v="Bergulfsen"/>
    <s v="Jonas"/>
    <s v="Small"/>
  </r>
  <r>
    <n v="10112"/>
    <n v="23"/>
    <n v="100"/>
    <n v="2"/>
    <x v="869"/>
    <d v="2003-03-24T00:00:00"/>
    <s v="Shipped"/>
    <n v="1"/>
    <n v="3"/>
    <x v="0"/>
    <x v="3"/>
    <n v="101"/>
    <s v="S18_2949"/>
    <s v="Volvo Model Replicas, Co"/>
    <s v="0921-12 3555"/>
    <s v="Berguvsv„gen  8"/>
    <m/>
    <s v="Lule"/>
    <m/>
    <s v="S-958 22"/>
    <x v="8"/>
    <s v="EMEA"/>
    <s v="Berglund"/>
    <s v="Christina"/>
    <s v="Small"/>
  </r>
  <r>
    <n v="10126"/>
    <n v="31"/>
    <n v="90.17"/>
    <n v="12"/>
    <x v="870"/>
    <d v="2003-05-28T00:00:00"/>
    <s v="Shipped"/>
    <n v="2"/>
    <n v="5"/>
    <x v="0"/>
    <x v="3"/>
    <n v="101"/>
    <s v="S18_2949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46"/>
    <n v="100"/>
    <n v="1"/>
    <x v="871"/>
    <d v="2003-07-16T00:00:00"/>
    <s v="Shipped"/>
    <n v="3"/>
    <n v="7"/>
    <x v="0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50"/>
    <n v="47"/>
    <n v="91.18"/>
    <n v="9"/>
    <x v="872"/>
    <d v="2003-09-19T00:00:00"/>
    <s v="Shipped"/>
    <n v="3"/>
    <n v="9"/>
    <x v="0"/>
    <x v="3"/>
    <n v="101"/>
    <s v="S18_2949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3"/>
    <n v="31"/>
    <n v="100"/>
    <n v="2"/>
    <x v="873"/>
    <d v="2003-10-20T00:00:00"/>
    <s v="Shipped"/>
    <n v="4"/>
    <n v="10"/>
    <x v="0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4"/>
    <n v="46"/>
    <n v="100"/>
    <n v="5"/>
    <x v="874"/>
    <d v="2003-11-06T00:00:00"/>
    <s v="Shipped"/>
    <n v="4"/>
    <n v="11"/>
    <x v="0"/>
    <x v="3"/>
    <n v="101"/>
    <s v="S18_2949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83"/>
    <n v="37"/>
    <n v="89.15"/>
    <n v="9"/>
    <x v="875"/>
    <d v="2003-11-13T00:00:00"/>
    <s v="Shipped"/>
    <n v="4"/>
    <n v="11"/>
    <x v="0"/>
    <x v="3"/>
    <n v="101"/>
    <s v="S18_2949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3"/>
    <n v="28"/>
    <n v="93.21"/>
    <n v="1"/>
    <x v="876"/>
    <d v="2003-11-21T00:00:00"/>
    <s v="Shipped"/>
    <n v="4"/>
    <n v="11"/>
    <x v="0"/>
    <x v="3"/>
    <n v="101"/>
    <s v="S18_294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7"/>
    <n v="90.17"/>
    <n v="7"/>
    <x v="877"/>
    <d v="2003-12-05T00:00:00"/>
    <s v="Shipped"/>
    <n v="4"/>
    <n v="12"/>
    <x v="0"/>
    <x v="3"/>
    <n v="101"/>
    <s v="S18_2949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4"/>
    <x v="878"/>
    <d v="2004-01-29T00:00:00"/>
    <s v="Shipped"/>
    <n v="1"/>
    <n v="1"/>
    <x v="1"/>
    <x v="3"/>
    <n v="101"/>
    <s v="S18_2949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24"/>
    <n v="100"/>
    <n v="3"/>
    <x v="879"/>
    <d v="2004-03-10T00:00:00"/>
    <s v="Shipped"/>
    <n v="1"/>
    <n v="3"/>
    <x v="1"/>
    <x v="3"/>
    <n v="101"/>
    <s v="S18_2949"/>
    <s v="Cambridge Collectables Co."/>
    <n v="6175555555"/>
    <s v="4658 Baden Av."/>
    <m/>
    <s v="Cambridge"/>
    <s v="MA"/>
    <n v="51247"/>
    <x v="0"/>
    <s v="NA"/>
    <s v="Tseng"/>
    <s v="Kyung"/>
    <s v="Small"/>
  </r>
  <r>
    <n v="10244"/>
    <n v="30"/>
    <n v="100"/>
    <n v="1"/>
    <x v="880"/>
    <d v="2004-04-29T00:00:00"/>
    <s v="Shipped"/>
    <n v="2"/>
    <n v="4"/>
    <x v="1"/>
    <x v="3"/>
    <n v="101"/>
    <s v="S18_2949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50"/>
    <n v="88.14"/>
    <n v="1"/>
    <x v="881"/>
    <d v="2004-06-14T00:00:00"/>
    <s v="Shipped"/>
    <n v="2"/>
    <n v="6"/>
    <x v="1"/>
    <x v="3"/>
    <n v="101"/>
    <s v="S18_2949"/>
    <s v="The Sharp Gifts Warehouse"/>
    <n v="4085553659"/>
    <s v="3086 Ingle Ln."/>
    <m/>
    <s v="San Jose"/>
    <s v="CA"/>
    <n v="94217"/>
    <x v="0"/>
    <s v="NA"/>
    <s v="Frick"/>
    <s v="Sue"/>
    <s v="Medium"/>
  </r>
  <r>
    <n v="10270"/>
    <n v="31"/>
    <n v="96.24"/>
    <n v="10"/>
    <x v="882"/>
    <d v="2004-07-19T00:00:00"/>
    <s v="Shipped"/>
    <n v="3"/>
    <n v="7"/>
    <x v="1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0"/>
    <n v="46"/>
    <n v="100"/>
    <n v="3"/>
    <x v="883"/>
    <d v="2004-08-17T00:00:00"/>
    <s v="Shipped"/>
    <n v="3"/>
    <n v="8"/>
    <x v="1"/>
    <x v="3"/>
    <n v="101"/>
    <s v="S18_2949"/>
    <s v="Amica Models &amp; Co."/>
    <s v="011-4988555"/>
    <s v="Via Monte Bianco 34"/>
    <m/>
    <s v="Torino"/>
    <m/>
    <n v="10100"/>
    <x v="12"/>
    <s v="EMEA"/>
    <s v="Accorti"/>
    <s v="Paolo"/>
    <s v="Medium"/>
  </r>
  <r>
    <n v="10291"/>
    <n v="47"/>
    <n v="100"/>
    <n v="12"/>
    <x v="884"/>
    <d v="2004-09-08T00:00:00"/>
    <s v="Shipped"/>
    <n v="3"/>
    <n v="9"/>
    <x v="1"/>
    <x v="3"/>
    <n v="101"/>
    <s v="S18_2949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6"/>
    <n v="100"/>
    <n v="7"/>
    <x v="885"/>
    <d v="2004-10-11T00:00:00"/>
    <s v="Shipped"/>
    <n v="4"/>
    <n v="10"/>
    <x v="1"/>
    <x v="3"/>
    <n v="101"/>
    <s v="S18_2949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7"/>
    <n v="100"/>
    <n v="4"/>
    <x v="886"/>
    <d v="2004-10-21T00:00:00"/>
    <s v="Shipped"/>
    <n v="4"/>
    <n v="10"/>
    <x v="1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33"/>
    <n v="100"/>
    <n v="12"/>
    <x v="887"/>
    <d v="2004-11-04T00:00:00"/>
    <s v="Shipped"/>
    <n v="4"/>
    <n v="11"/>
    <x v="1"/>
    <x v="3"/>
    <n v="101"/>
    <s v="S18_2949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3"/>
    <n v="31"/>
    <n v="90.17"/>
    <n v="5"/>
    <x v="870"/>
    <d v="2004-11-18T00:00:00"/>
    <s v="Shipped"/>
    <n v="4"/>
    <n v="11"/>
    <x v="1"/>
    <x v="3"/>
    <n v="101"/>
    <s v="S18_2949"/>
    <s v="Mini Wheels Co."/>
    <n v="6505555787"/>
    <s v="5557 North Pendale Street"/>
    <m/>
    <s v="San Francisco"/>
    <s v="CA"/>
    <m/>
    <x v="0"/>
    <s v="NA"/>
    <s v="Murphy"/>
    <s v="Julie"/>
    <s v="Small"/>
  </r>
  <r>
    <n v="10347"/>
    <n v="48"/>
    <n v="100"/>
    <n v="9"/>
    <x v="888"/>
    <d v="2004-11-29T00:00:00"/>
    <s v="Shipped"/>
    <n v="4"/>
    <n v="11"/>
    <x v="1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1"/>
    <n v="87.13"/>
    <n v="6"/>
    <x v="889"/>
    <d v="2004-12-10T00:00:00"/>
    <s v="Shipped"/>
    <n v="4"/>
    <n v="12"/>
    <x v="1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42"/>
    <n v="100"/>
    <n v="1"/>
    <x v="890"/>
    <d v="2005-01-20T00:00:00"/>
    <s v="Shipped"/>
    <n v="1"/>
    <n v="1"/>
    <x v="2"/>
    <x v="3"/>
    <n v="101"/>
    <s v="S18_2949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1"/>
    <n v="41"/>
    <n v="100"/>
    <n v="8"/>
    <x v="891"/>
    <d v="2005-02-17T00:00:00"/>
    <s v="Shipped"/>
    <n v="1"/>
    <n v="2"/>
    <x v="2"/>
    <x v="3"/>
    <n v="101"/>
    <s v="S18_2949"/>
    <s v="Corporate Gift Ideas Co."/>
    <n v="6505551386"/>
    <s v="7734 Strong St."/>
    <m/>
    <s v="San Francisco"/>
    <s v="CA"/>
    <m/>
    <x v="0"/>
    <s v="NA"/>
    <s v="Brown"/>
    <s v="Julie"/>
    <s v="Medium"/>
  </r>
  <r>
    <n v="10391"/>
    <n v="32"/>
    <n v="45.25"/>
    <n v="6"/>
    <x v="892"/>
    <d v="2005-03-09T00:00:00"/>
    <s v="Shipped"/>
    <n v="1"/>
    <n v="3"/>
    <x v="2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423"/>
    <n v="10"/>
    <n v="88.14"/>
    <n v="1"/>
    <x v="893"/>
    <d v="2005-05-30T00:00:00"/>
    <s v="In Process"/>
    <n v="2"/>
    <n v="5"/>
    <x v="2"/>
    <x v="3"/>
    <n v="101"/>
    <s v="S18_2949"/>
    <s v="Petit Auto"/>
    <s v="(02) 5554 67"/>
    <s v="Rue Joseph-Bens 532"/>
    <m/>
    <s v="Bruxelles"/>
    <m/>
    <s v="B-1180"/>
    <x v="14"/>
    <s v="EMEA"/>
    <s v="Dewey"/>
    <s v="Catherine"/>
    <s v="Small"/>
  </r>
  <r>
    <n v="10103"/>
    <n v="35"/>
    <n v="57.46"/>
    <n v="14"/>
    <x v="894"/>
    <d v="2003-01-29T00:00:00"/>
    <s v="Shipped"/>
    <n v="1"/>
    <n v="1"/>
    <x v="0"/>
    <x v="3"/>
    <n v="62"/>
    <s v="S18_2957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28"/>
    <n v="64.33"/>
    <n v="2"/>
    <x v="895"/>
    <d v="2003-03-25T00:00:00"/>
    <s v="Shipped"/>
    <n v="1"/>
    <n v="3"/>
    <x v="0"/>
    <x v="3"/>
    <n v="62"/>
    <s v="S18_2957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46"/>
    <n v="73.7"/>
    <n v="14"/>
    <x v="896"/>
    <d v="2003-05-28T00:00:00"/>
    <s v="Shipped"/>
    <n v="2"/>
    <n v="5"/>
    <x v="0"/>
    <x v="3"/>
    <n v="62"/>
    <s v="S18_2957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20"/>
    <n v="71.2"/>
    <n v="3"/>
    <x v="897"/>
    <d v="2003-07-16T00:00:00"/>
    <s v="Shipped"/>
    <n v="3"/>
    <n v="7"/>
    <x v="0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30"/>
    <n v="49.97"/>
    <n v="11"/>
    <x v="898"/>
    <d v="2003-09-19T00:00:00"/>
    <s v="Shipped"/>
    <n v="3"/>
    <n v="9"/>
    <x v="0"/>
    <x v="3"/>
    <n v="62"/>
    <s v="S18_295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3"/>
    <n v="48"/>
    <n v="69.959999999999994"/>
    <n v="4"/>
    <x v="899"/>
    <d v="2003-10-20T00:00:00"/>
    <s v="Shipped"/>
    <n v="4"/>
    <n v="10"/>
    <x v="0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8"/>
    <n v="53.72"/>
    <n v="2"/>
    <x v="900"/>
    <d v="2003-11-05T00:00:00"/>
    <s v="Shipped"/>
    <n v="4"/>
    <n v="11"/>
    <x v="0"/>
    <x v="3"/>
    <n v="62"/>
    <s v="S18_2957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39"/>
    <n v="68.08"/>
    <n v="11"/>
    <x v="901"/>
    <d v="2003-11-13T00:00:00"/>
    <s v="Shipped"/>
    <n v="4"/>
    <n v="11"/>
    <x v="0"/>
    <x v="3"/>
    <n v="62"/>
    <s v="S18_2957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3"/>
    <n v="24"/>
    <n v="51.84"/>
    <n v="3"/>
    <x v="902"/>
    <d v="2003-11-21T00:00:00"/>
    <s v="Shipped"/>
    <n v="4"/>
    <n v="11"/>
    <x v="0"/>
    <x v="3"/>
    <n v="62"/>
    <s v="S18_295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67.459999999999994"/>
    <n v="9"/>
    <x v="903"/>
    <d v="2003-12-05T00:00:00"/>
    <s v="Shipped"/>
    <n v="4"/>
    <n v="12"/>
    <x v="0"/>
    <x v="3"/>
    <n v="62"/>
    <s v="S18_2957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31"/>
    <n v="58.71"/>
    <n v="6"/>
    <x v="904"/>
    <d v="2004-01-29T00:00:00"/>
    <s v="Shipped"/>
    <n v="1"/>
    <n v="1"/>
    <x v="1"/>
    <x v="3"/>
    <n v="62"/>
    <s v="S18_2957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8"/>
    <n v="45"/>
    <n v="63.71"/>
    <n v="5"/>
    <x v="905"/>
    <d v="2004-03-10T00:00:00"/>
    <s v="Shipped"/>
    <n v="1"/>
    <n v="3"/>
    <x v="1"/>
    <x v="3"/>
    <n v="62"/>
    <s v="S18_2957"/>
    <s v="Cambridge Collectables Co."/>
    <n v="6175555555"/>
    <s v="4658 Baden Av."/>
    <m/>
    <s v="Cambridge"/>
    <s v="MA"/>
    <n v="51247"/>
    <x v="0"/>
    <s v="NA"/>
    <s v="Tseng"/>
    <s v="Kyung"/>
    <s v="Small"/>
  </r>
  <r>
    <n v="10244"/>
    <n v="24"/>
    <n v="58.09"/>
    <n v="3"/>
    <x v="906"/>
    <d v="2004-04-29T00:00:00"/>
    <s v="Shipped"/>
    <n v="2"/>
    <n v="4"/>
    <x v="1"/>
    <x v="3"/>
    <n v="62"/>
    <s v="S18_2957"/>
    <s v="Euro Shopping Channel"/>
    <s v="(91) 555 94 44"/>
    <s v="C/ Moralzarzal, 86"/>
    <m/>
    <s v="Madrid"/>
    <m/>
    <n v="28034"/>
    <x v="7"/>
    <s v="EMEA"/>
    <s v="Freyre"/>
    <s v="Diego"/>
    <s v="Small"/>
  </r>
  <r>
    <n v="10257"/>
    <n v="49"/>
    <n v="53.72"/>
    <n v="3"/>
    <x v="907"/>
    <d v="2004-06-14T00:00:00"/>
    <s v="Shipped"/>
    <n v="2"/>
    <n v="6"/>
    <x v="1"/>
    <x v="3"/>
    <n v="62"/>
    <s v="S18_2957"/>
    <s v="The Sharp Gifts Warehouse"/>
    <n v="4085553659"/>
    <s v="3086 Ingle Ln."/>
    <m/>
    <s v="San Jose"/>
    <s v="CA"/>
    <n v="94217"/>
    <x v="0"/>
    <s v="NA"/>
    <s v="Frick"/>
    <s v="Sue"/>
    <s v="Small"/>
  </r>
  <r>
    <n v="10269"/>
    <n v="32"/>
    <n v="63.08"/>
    <n v="1"/>
    <x v="908"/>
    <d v="2004-07-16T00:00:00"/>
    <s v="Shipped"/>
    <n v="3"/>
    <n v="7"/>
    <x v="1"/>
    <x v="3"/>
    <n v="62"/>
    <s v="S18_2957"/>
    <s v="Salzburg Collectables"/>
    <s v="6562-9555"/>
    <s v="Geislweg 14"/>
    <m/>
    <s v="Salzburg"/>
    <m/>
    <n v="5020"/>
    <x v="5"/>
    <s v="EMEA"/>
    <s v="Pipps"/>
    <s v="Georg"/>
    <s v="Small"/>
  </r>
  <r>
    <n v="10280"/>
    <n v="43"/>
    <n v="68.709999999999994"/>
    <n v="5"/>
    <x v="909"/>
    <d v="2004-08-17T00:00:00"/>
    <s v="Shipped"/>
    <n v="3"/>
    <n v="8"/>
    <x v="1"/>
    <x v="3"/>
    <n v="62"/>
    <s v="S18_2957"/>
    <s v="Amica Models &amp; Co."/>
    <s v="011-4988555"/>
    <s v="Via Monte Bianco 34"/>
    <m/>
    <s v="Torino"/>
    <m/>
    <n v="10100"/>
    <x v="12"/>
    <s v="EMEA"/>
    <s v="Accorti"/>
    <s v="Paolo"/>
    <s v="Small"/>
  </r>
  <r>
    <n v="10291"/>
    <n v="37"/>
    <n v="50.59"/>
    <n v="14"/>
    <x v="910"/>
    <d v="2004-09-08T00:00:00"/>
    <s v="Shipped"/>
    <n v="3"/>
    <n v="9"/>
    <x v="1"/>
    <x v="3"/>
    <n v="62"/>
    <s v="S18_2957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24"/>
    <n v="64.959999999999994"/>
    <n v="9"/>
    <x v="911"/>
    <d v="2004-10-11T00:00:00"/>
    <s v="Shipped"/>
    <n v="4"/>
    <n v="10"/>
    <x v="1"/>
    <x v="3"/>
    <n v="62"/>
    <s v="S18_295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5"/>
    <n v="53.72"/>
    <n v="6"/>
    <x v="912"/>
    <d v="2004-10-21T00:00:00"/>
    <s v="Shipped"/>
    <n v="4"/>
    <n v="10"/>
    <x v="1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41"/>
    <n v="29.87"/>
    <n v="13"/>
    <x v="913"/>
    <d v="2004-11-04T00:00:00"/>
    <s v="Shipped"/>
    <n v="4"/>
    <n v="11"/>
    <x v="1"/>
    <x v="3"/>
    <n v="62"/>
    <s v="S18_295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26"/>
    <n v="100"/>
    <n v="17"/>
    <x v="914"/>
    <d v="2004-11-17T00:00:00"/>
    <s v="Shipped"/>
    <n v="4"/>
    <n v="11"/>
    <x v="1"/>
    <x v="3"/>
    <n v="62"/>
    <s v="S18_2957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34"/>
    <n v="64.959999999999994"/>
    <n v="10"/>
    <x v="915"/>
    <d v="2004-11-29T00:00:00"/>
    <s v="Shipped"/>
    <n v="4"/>
    <n v="11"/>
    <x v="1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49"/>
    <n v="70.58"/>
    <n v="5"/>
    <x v="916"/>
    <d v="2004-12-10T00:00:00"/>
    <s v="Shipped"/>
    <n v="4"/>
    <n v="12"/>
    <x v="1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28"/>
    <n v="44.21"/>
    <n v="6"/>
    <x v="917"/>
    <d v="2005-01-20T00:00:00"/>
    <s v="Shipped"/>
    <n v="1"/>
    <n v="1"/>
    <x v="2"/>
    <x v="3"/>
    <n v="62"/>
    <s v="S18_295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381"/>
    <n v="40"/>
    <n v="68.08"/>
    <n v="4"/>
    <x v="918"/>
    <d v="2005-02-17T00:00:00"/>
    <s v="Shipped"/>
    <n v="1"/>
    <n v="2"/>
    <x v="2"/>
    <x v="3"/>
    <n v="62"/>
    <s v="S18_2957"/>
    <s v="Corporate Gift Ideas Co."/>
    <n v="6505551386"/>
    <s v="7734 Strong St."/>
    <m/>
    <s v="San Francisco"/>
    <s v="CA"/>
    <m/>
    <x v="0"/>
    <s v="NA"/>
    <s v="Brown"/>
    <s v="Julie"/>
    <s v="Small"/>
  </r>
  <r>
    <n v="10392"/>
    <n v="37"/>
    <n v="59.96"/>
    <n v="3"/>
    <x v="919"/>
    <d v="2005-03-10T00:00:00"/>
    <s v="Shipped"/>
    <n v="1"/>
    <n v="3"/>
    <x v="2"/>
    <x v="3"/>
    <n v="62"/>
    <s v="S18_2957"/>
    <s v="Mini Auto Werke"/>
    <s v="7675-3555"/>
    <s v="Kirchgasse 6"/>
    <m/>
    <s v="Graz"/>
    <m/>
    <n v="8010"/>
    <x v="5"/>
    <s v="EMEA"/>
    <s v="Mendel"/>
    <s v="Roland"/>
    <s v="Small"/>
  </r>
  <r>
    <n v="10423"/>
    <n v="31"/>
    <n v="53.72"/>
    <n v="3"/>
    <x v="920"/>
    <d v="2005-05-30T00:00:00"/>
    <s v="In Process"/>
    <n v="2"/>
    <n v="5"/>
    <x v="2"/>
    <x v="3"/>
    <n v="62"/>
    <s v="S18_2957"/>
    <s v="Petit Auto"/>
    <s v="(02) 5554 67"/>
    <s v="Rue Joseph-Bens 532"/>
    <m/>
    <s v="Bruxelles"/>
    <m/>
    <s v="B-1180"/>
    <x v="14"/>
    <s v="EMEA"/>
    <s v="Dewey"/>
    <s v="Catherine"/>
    <s v="Small"/>
  </r>
  <r>
    <n v="10106"/>
    <n v="41"/>
    <n v="83.44"/>
    <n v="18"/>
    <x v="921"/>
    <d v="2003-02-17T00:00:00"/>
    <s v="Shipped"/>
    <n v="1"/>
    <n v="2"/>
    <x v="0"/>
    <x v="5"/>
    <n v="86"/>
    <s v="S18_3029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1"/>
    <n v="89.46"/>
    <n v="9"/>
    <x v="922"/>
    <d v="2003-04-28T00:00:00"/>
    <s v="Shipped"/>
    <n v="2"/>
    <n v="4"/>
    <x v="0"/>
    <x v="5"/>
    <n v="86"/>
    <s v="S18_3029"/>
    <s v="Salzburg Collectables"/>
    <s v="6562-9555"/>
    <s v="Geislweg 14"/>
    <m/>
    <s v="Salzburg"/>
    <m/>
    <n v="5020"/>
    <x v="5"/>
    <s v="EMEA"/>
    <s v="Pipps"/>
    <s v="Georg"/>
    <s v="Small"/>
  </r>
  <r>
    <n v="10130"/>
    <n v="40"/>
    <n v="96.34"/>
    <n v="2"/>
    <x v="923"/>
    <d v="2003-06-16T00:00:00"/>
    <s v="Shipped"/>
    <n v="2"/>
    <n v="6"/>
    <x v="0"/>
    <x v="5"/>
    <n v="86"/>
    <s v="S18_3029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143"/>
    <n v="46"/>
    <n v="74.84"/>
    <n v="13"/>
    <x v="924"/>
    <d v="2003-08-10T00:00:00"/>
    <s v="Shipped"/>
    <n v="3"/>
    <n v="8"/>
    <x v="0"/>
    <x v="5"/>
    <n v="86"/>
    <s v="S18_3029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44"/>
    <n v="79.14"/>
    <n v="11"/>
    <x v="925"/>
    <d v="2003-10-06T00:00:00"/>
    <s v="Shipped"/>
    <n v="4"/>
    <n v="10"/>
    <x v="0"/>
    <x v="5"/>
    <n v="86"/>
    <s v="S18_3029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46"/>
    <n v="73.12"/>
    <n v="7"/>
    <x v="926"/>
    <d v="2003-10-23T00:00:00"/>
    <s v="Cancelled"/>
    <n v="4"/>
    <n v="10"/>
    <x v="0"/>
    <x v="5"/>
    <n v="86"/>
    <s v="S18_3029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1"/>
    <n v="81.72"/>
    <n v="10"/>
    <x v="927"/>
    <d v="2003-11-08T00:00:00"/>
    <s v="Shipped"/>
    <n v="4"/>
    <n v="11"/>
    <x v="0"/>
    <x v="5"/>
    <n v="86"/>
    <s v="S18_3029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32"/>
    <n v="89.46"/>
    <n v="7"/>
    <x v="928"/>
    <d v="2003-11-14T00:00:00"/>
    <s v="Shipped"/>
    <n v="4"/>
    <n v="11"/>
    <x v="0"/>
    <x v="5"/>
    <n v="86"/>
    <s v="S18_3029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46"/>
    <n v="87.74"/>
    <n v="4"/>
    <x v="929"/>
    <d v="2003-11-26T00:00:00"/>
    <s v="Shipped"/>
    <n v="4"/>
    <n v="11"/>
    <x v="0"/>
    <x v="5"/>
    <n v="86"/>
    <s v="S18_3029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9"/>
    <n v="28"/>
    <n v="100"/>
    <n v="6"/>
    <x v="930"/>
    <d v="2004-01-09T00:00:00"/>
    <s v="Shipped"/>
    <n v="1"/>
    <n v="1"/>
    <x v="1"/>
    <x v="5"/>
    <n v="86"/>
    <s v="S18_3029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9"/>
    <n v="94.62"/>
    <n v="10"/>
    <x v="931"/>
    <d v="2004-02-19T00:00:00"/>
    <s v="Shipped"/>
    <n v="1"/>
    <n v="2"/>
    <x v="1"/>
    <x v="5"/>
    <n v="86"/>
    <s v="S18_3029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1"/>
    <n v="73.98"/>
    <n v="1"/>
    <x v="932"/>
    <d v="2004-05-07T00:00:00"/>
    <s v="Cancelled"/>
    <n v="2"/>
    <n v="5"/>
    <x v="1"/>
    <x v="5"/>
    <n v="86"/>
    <s v="S18_3029"/>
    <s v="Land of Toys Inc."/>
    <n v="2125557818"/>
    <s v="897 Long Airport Avenue"/>
    <m/>
    <s v="NYC"/>
    <s v="NY"/>
    <n v="10022"/>
    <x v="0"/>
    <s v="NA"/>
    <s v="Yu"/>
    <s v="Kwai"/>
    <s v="Small"/>
  </r>
  <r>
    <n v="10262"/>
    <n v="32"/>
    <n v="84.3"/>
    <n v="15"/>
    <x v="933"/>
    <d v="2004-06-24T00:00:00"/>
    <s v="Cancelled"/>
    <n v="2"/>
    <n v="6"/>
    <x v="1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s v="Small"/>
  </r>
  <r>
    <n v="10273"/>
    <n v="34"/>
    <n v="98.06"/>
    <n v="2"/>
    <x v="934"/>
    <d v="2004-07-21T00:00:00"/>
    <s v="Shipped"/>
    <n v="3"/>
    <n v="7"/>
    <x v="1"/>
    <x v="5"/>
    <n v="86"/>
    <s v="S18_3029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1"/>
    <n v="98.06"/>
    <n v="4"/>
    <x v="935"/>
    <d v="2004-08-20T00:00:00"/>
    <s v="Shipped"/>
    <n v="3"/>
    <n v="8"/>
    <x v="1"/>
    <x v="5"/>
    <n v="86"/>
    <s v="S18_302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96.34"/>
    <n v="13"/>
    <x v="936"/>
    <d v="2004-09-15T00:00:00"/>
    <s v="Shipped"/>
    <n v="3"/>
    <n v="9"/>
    <x v="1"/>
    <x v="5"/>
    <n v="86"/>
    <s v="S18_3029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31"/>
    <n v="83.44"/>
    <n v="7"/>
    <x v="937"/>
    <d v="2004-10-14T00:00:00"/>
    <s v="Shipped"/>
    <n v="4"/>
    <n v="10"/>
    <x v="1"/>
    <x v="5"/>
    <n v="86"/>
    <s v="S18_3029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21"/>
    <n v="94.62"/>
    <n v="15"/>
    <x v="938"/>
    <d v="2004-11-01T00:00:00"/>
    <s v="Shipped"/>
    <n v="4"/>
    <n v="11"/>
    <x v="1"/>
    <x v="5"/>
    <n v="86"/>
    <s v="S18_302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7"/>
    <n v="25"/>
    <n v="45.86"/>
    <n v="5"/>
    <x v="939"/>
    <d v="2004-11-10T00:00:00"/>
    <s v="Resolved"/>
    <n v="4"/>
    <n v="11"/>
    <x v="1"/>
    <x v="5"/>
    <n v="86"/>
    <s v="S18_3029"/>
    <s v="Danish Wholesale Imports"/>
    <s v="31 12 3555"/>
    <s v="Vinb'ltet 34"/>
    <m/>
    <s v="Kobenhavn"/>
    <m/>
    <n v="1734"/>
    <x v="13"/>
    <s v="EMEA"/>
    <s v="Petersen"/>
    <s v="Jytte"/>
    <s v="Small"/>
  </r>
  <r>
    <n v="10338"/>
    <n v="28"/>
    <n v="82.58"/>
    <n v="3"/>
    <x v="940"/>
    <d v="2004-11-22T00:00:00"/>
    <s v="Shipped"/>
    <n v="4"/>
    <n v="11"/>
    <x v="1"/>
    <x v="5"/>
    <n v="86"/>
    <s v="S18_3029"/>
    <s v="Royale Belge"/>
    <s v="(071) 23 67 2555"/>
    <s v="Boulevard Tirou, 255"/>
    <m/>
    <s v="Charleroi"/>
    <m/>
    <s v="B-6000"/>
    <x v="14"/>
    <s v="EMEA"/>
    <s v="Cartrain"/>
    <s v="Pascale"/>
    <s v="Small"/>
  </r>
  <r>
    <n v="10350"/>
    <n v="43"/>
    <n v="64.97"/>
    <n v="6"/>
    <x v="941"/>
    <d v="2004-12-02T00:00:00"/>
    <s v="Shipped"/>
    <n v="4"/>
    <n v="12"/>
    <x v="1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2"/>
    <n v="86.74"/>
    <n v="5"/>
    <x v="942"/>
    <d v="2005-01-31T00:00:00"/>
    <s v="Shipped"/>
    <n v="1"/>
    <n v="1"/>
    <x v="2"/>
    <x v="5"/>
    <n v="86"/>
    <s v="S18_3029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7"/>
    <n v="93.01"/>
    <n v="5"/>
    <x v="943"/>
    <d v="2005-03-01T00:00:00"/>
    <s v="Resolved"/>
    <n v="1"/>
    <n v="3"/>
    <x v="2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8"/>
    <n v="72.260000000000005"/>
    <n v="18"/>
    <x v="944"/>
    <d v="2005-03-30T00:00:00"/>
    <s v="Shipped"/>
    <n v="1"/>
    <n v="3"/>
    <x v="2"/>
    <x v="5"/>
    <n v="86"/>
    <s v="S18_3029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30"/>
    <n v="74.84"/>
    <n v="7"/>
    <x v="945"/>
    <d v="2005-04-01T00:00:00"/>
    <s v="Shipped"/>
    <n v="2"/>
    <n v="4"/>
    <x v="2"/>
    <x v="5"/>
    <n v="86"/>
    <s v="S18_3029"/>
    <s v="The Sharp Gifts Warehouse"/>
    <n v="4085553659"/>
    <s v="3086 Ingle Ln."/>
    <m/>
    <s v="San Jose"/>
    <s v="CA"/>
    <n v="94217"/>
    <x v="0"/>
    <s v="NA"/>
    <s v="Frick"/>
    <s v="Sue"/>
    <s v="Small"/>
  </r>
  <r>
    <n v="10414"/>
    <n v="44"/>
    <n v="73.98"/>
    <n v="1"/>
    <x v="946"/>
    <d v="2005-05-06T00:00:00"/>
    <s v="On Hold"/>
    <n v="2"/>
    <n v="5"/>
    <x v="2"/>
    <x v="5"/>
    <n v="86"/>
    <s v="S18_3029"/>
    <s v="Gifts4AllAges.com"/>
    <n v="6175559555"/>
    <s v="8616 Spinnaker Dr."/>
    <m/>
    <s v="Boston"/>
    <s v="MA"/>
    <n v="51003"/>
    <x v="0"/>
    <s v="NA"/>
    <s v="Yoshido"/>
    <s v="Juri"/>
    <s v="Medium"/>
  </r>
  <r>
    <n v="10103"/>
    <n v="25"/>
    <n v="100"/>
    <n v="13"/>
    <x v="947"/>
    <d v="2003-01-29T00:00:00"/>
    <s v="Shipped"/>
    <n v="1"/>
    <n v="1"/>
    <x v="0"/>
    <x v="3"/>
    <n v="104"/>
    <s v="S18_3136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43"/>
    <n v="100"/>
    <n v="1"/>
    <x v="948"/>
    <d v="2003-03-25T00:00:00"/>
    <s v="Shipped"/>
    <n v="1"/>
    <n v="3"/>
    <x v="0"/>
    <x v="3"/>
    <n v="104"/>
    <s v="S18_3136"/>
    <s v="Mini Wheels Co."/>
    <n v="6505555787"/>
    <s v="5557 North Pendale Street"/>
    <m/>
    <s v="San Francisco"/>
    <s v="CA"/>
    <m/>
    <x v="0"/>
    <s v="NA"/>
    <s v="Murphy"/>
    <s v="Julie"/>
    <s v="Medium"/>
  </r>
  <r>
    <n v="10126"/>
    <n v="30"/>
    <n v="97.39"/>
    <n v="13"/>
    <x v="949"/>
    <d v="2003-05-28T00:00:00"/>
    <s v="Shipped"/>
    <n v="2"/>
    <n v="5"/>
    <x v="0"/>
    <x v="3"/>
    <n v="104"/>
    <s v="S18_3136"/>
    <s v="Corrida Auto Replicas, Ltd"/>
    <s v="(91) 555 22 82"/>
    <s v="C/ Araquil, 67"/>
    <m/>
    <s v="Madrid"/>
    <m/>
    <n v="28023"/>
    <x v="7"/>
    <s v="EMEA"/>
    <s v="Sommer"/>
    <s v="Mart¡n"/>
    <s v="Small"/>
  </r>
  <r>
    <n v="10139"/>
    <n v="20"/>
    <n v="90.06"/>
    <n v="2"/>
    <x v="950"/>
    <d v="2003-07-16T00:00:00"/>
    <s v="Shipped"/>
    <n v="3"/>
    <n v="7"/>
    <x v="0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50"/>
    <n v="26"/>
    <n v="100"/>
    <n v="10"/>
    <x v="951"/>
    <d v="2003-09-19T00:00:00"/>
    <s v="Shipped"/>
    <n v="3"/>
    <n v="9"/>
    <x v="0"/>
    <x v="3"/>
    <n v="104"/>
    <s v="S18_3136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3"/>
    <n v="40"/>
    <n v="100"/>
    <n v="3"/>
    <x v="952"/>
    <d v="2003-10-20T00:00:00"/>
    <s v="Shipped"/>
    <n v="4"/>
    <n v="10"/>
    <x v="0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31"/>
    <n v="89.01"/>
    <n v="1"/>
    <x v="953"/>
    <d v="2003-11-05T00:00:00"/>
    <s v="Shipped"/>
    <n v="4"/>
    <n v="11"/>
    <x v="0"/>
    <x v="3"/>
    <n v="104"/>
    <s v="S18_3136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22"/>
    <n v="100"/>
    <n v="10"/>
    <x v="954"/>
    <d v="2003-11-13T00:00:00"/>
    <s v="Shipped"/>
    <n v="4"/>
    <n v="11"/>
    <x v="0"/>
    <x v="3"/>
    <n v="104"/>
    <s v="S18_3136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3"/>
    <n v="23"/>
    <n v="100"/>
    <n v="2"/>
    <x v="955"/>
    <d v="2003-11-21T00:00:00"/>
    <s v="Shipped"/>
    <n v="4"/>
    <n v="11"/>
    <x v="0"/>
    <x v="3"/>
    <n v="104"/>
    <s v="S18_3136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0"/>
    <n v="100"/>
    <n v="8"/>
    <x v="956"/>
    <d v="2003-12-05T00:00:00"/>
    <s v="Shipped"/>
    <n v="4"/>
    <n v="12"/>
    <x v="0"/>
    <x v="3"/>
    <n v="104"/>
    <s v="S18_3136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49"/>
    <n v="100"/>
    <n v="5"/>
    <x v="957"/>
    <d v="2004-01-29T00:00:00"/>
    <s v="Shipped"/>
    <n v="1"/>
    <n v="1"/>
    <x v="1"/>
    <x v="3"/>
    <n v="104"/>
    <s v="S18_3136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1"/>
    <n v="100"/>
    <n v="4"/>
    <x v="958"/>
    <d v="2004-03-10T00:00:00"/>
    <s v="Shipped"/>
    <n v="1"/>
    <n v="3"/>
    <x v="1"/>
    <x v="3"/>
    <n v="104"/>
    <s v="S18_3136"/>
    <s v="Cambridge Collectables Co."/>
    <n v="6175555555"/>
    <s v="4658 Baden Av."/>
    <m/>
    <s v="Cambridge"/>
    <s v="MA"/>
    <n v="51247"/>
    <x v="0"/>
    <s v="NA"/>
    <s v="Tseng"/>
    <s v="Kyung"/>
    <s v="Medium"/>
  </r>
  <r>
    <n v="10244"/>
    <n v="29"/>
    <n v="100"/>
    <n v="2"/>
    <x v="959"/>
    <d v="2004-04-29T00:00:00"/>
    <s v="Shipped"/>
    <n v="2"/>
    <n v="4"/>
    <x v="1"/>
    <x v="3"/>
    <n v="104"/>
    <s v="S18_3136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37"/>
    <n v="84.82"/>
    <n v="2"/>
    <x v="960"/>
    <d v="2004-06-14T00:00:00"/>
    <s v="Shipped"/>
    <n v="2"/>
    <n v="6"/>
    <x v="1"/>
    <x v="3"/>
    <n v="104"/>
    <s v="S18_3136"/>
    <s v="The Sharp Gifts Warehouse"/>
    <n v="4085553659"/>
    <s v="3086 Ingle Ln."/>
    <m/>
    <s v="San Jose"/>
    <s v="CA"/>
    <n v="94217"/>
    <x v="0"/>
    <s v="NA"/>
    <s v="Frick"/>
    <s v="Sue"/>
    <s v="Medium"/>
  </r>
  <r>
    <n v="10270"/>
    <n v="38"/>
    <n v="100"/>
    <n v="11"/>
    <x v="961"/>
    <d v="2004-07-19T00:00:00"/>
    <s v="Shipped"/>
    <n v="3"/>
    <n v="7"/>
    <x v="1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0"/>
    <n v="29"/>
    <n v="100"/>
    <n v="4"/>
    <x v="962"/>
    <d v="2004-08-17T00:00:00"/>
    <s v="Shipped"/>
    <n v="3"/>
    <n v="8"/>
    <x v="1"/>
    <x v="3"/>
    <n v="104"/>
    <s v="S18_3136"/>
    <s v="Amica Models &amp; Co."/>
    <s v="011-4988555"/>
    <s v="Via Monte Bianco 34"/>
    <m/>
    <s v="Torino"/>
    <m/>
    <n v="10100"/>
    <x v="12"/>
    <s v="EMEA"/>
    <s v="Accorti"/>
    <s v="Paolo"/>
    <s v="Medium"/>
  </r>
  <r>
    <n v="10291"/>
    <n v="23"/>
    <n v="100"/>
    <n v="13"/>
    <x v="963"/>
    <d v="2004-09-08T00:00:00"/>
    <s v="Shipped"/>
    <n v="3"/>
    <n v="9"/>
    <x v="1"/>
    <x v="3"/>
    <n v="104"/>
    <s v="S18_3136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26"/>
    <n v="85.87"/>
    <n v="8"/>
    <x v="964"/>
    <d v="2004-10-11T00:00:00"/>
    <s v="Shipped"/>
    <n v="4"/>
    <n v="10"/>
    <x v="1"/>
    <x v="3"/>
    <n v="104"/>
    <s v="S18_3136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8"/>
    <n v="100"/>
    <n v="5"/>
    <x v="965"/>
    <d v="2004-10-21T00:00:00"/>
    <s v="Shipped"/>
    <n v="4"/>
    <n v="10"/>
    <x v="1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2"/>
    <n v="48"/>
    <n v="47.04"/>
    <n v="7"/>
    <x v="966"/>
    <d v="2004-11-04T00:00:00"/>
    <s v="Shipped"/>
    <n v="4"/>
    <n v="11"/>
    <x v="1"/>
    <x v="3"/>
    <n v="104"/>
    <s v="S18_3136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40"/>
    <n v="39.799999999999997"/>
    <n v="18"/>
    <x v="967"/>
    <d v="2004-11-17T00:00:00"/>
    <s v="Shipped"/>
    <n v="4"/>
    <n v="11"/>
    <x v="1"/>
    <x v="3"/>
    <n v="104"/>
    <s v="S18_3136"/>
    <s v="AV Stores, Co."/>
    <s v="(171) 555-1555"/>
    <s v="Fauntleroy Circus"/>
    <m/>
    <s v="Manchester"/>
    <m/>
    <s v="EC2 5NT"/>
    <x v="6"/>
    <s v="EMEA"/>
    <s v="Ashworth"/>
    <s v="Victoria"/>
    <s v="Small"/>
  </r>
  <r>
    <n v="10347"/>
    <n v="45"/>
    <n v="100"/>
    <n v="11"/>
    <x v="968"/>
    <d v="2004-11-29T00:00:00"/>
    <s v="Shipped"/>
    <n v="4"/>
    <n v="11"/>
    <x v="1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44"/>
    <n v="100"/>
    <n v="4"/>
    <x v="969"/>
    <d v="2004-12-10T00:00:00"/>
    <s v="Shipped"/>
    <n v="4"/>
    <n v="12"/>
    <x v="1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69"/>
    <n v="21"/>
    <n v="94.22"/>
    <n v="5"/>
    <x v="970"/>
    <d v="2005-01-20T00:00:00"/>
    <s v="Shipped"/>
    <n v="1"/>
    <n v="1"/>
    <x v="2"/>
    <x v="3"/>
    <n v="104"/>
    <s v="S18_3136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381"/>
    <n v="35"/>
    <n v="100"/>
    <n v="5"/>
    <x v="971"/>
    <d v="2005-02-17T00:00:00"/>
    <s v="Shipped"/>
    <n v="1"/>
    <n v="2"/>
    <x v="2"/>
    <x v="3"/>
    <n v="104"/>
    <s v="S18_3136"/>
    <s v="Corporate Gift Ideas Co."/>
    <n v="6505551386"/>
    <s v="7734 Strong St."/>
    <m/>
    <s v="San Francisco"/>
    <s v="CA"/>
    <m/>
    <x v="0"/>
    <s v="NA"/>
    <s v="Brown"/>
    <s v="Julie"/>
    <s v="Medium"/>
  </r>
  <r>
    <n v="10392"/>
    <n v="29"/>
    <n v="86.92"/>
    <n v="2"/>
    <x v="972"/>
    <d v="2005-03-10T00:00:00"/>
    <s v="Shipped"/>
    <n v="1"/>
    <n v="3"/>
    <x v="2"/>
    <x v="3"/>
    <n v="104"/>
    <s v="S18_3136"/>
    <s v="Mini Auto Werke"/>
    <s v="7675-3555"/>
    <s v="Kirchgasse 6"/>
    <m/>
    <s v="Graz"/>
    <m/>
    <n v="8010"/>
    <x v="5"/>
    <s v="EMEA"/>
    <s v="Mendel"/>
    <s v="Roland"/>
    <s v="Small"/>
  </r>
  <r>
    <n v="10423"/>
    <n v="21"/>
    <n v="84.82"/>
    <n v="2"/>
    <x v="973"/>
    <d v="2005-05-30T00:00:00"/>
    <s v="In Process"/>
    <n v="2"/>
    <n v="5"/>
    <x v="2"/>
    <x v="3"/>
    <n v="104"/>
    <s v="S18_3136"/>
    <s v="Petit Auto"/>
    <s v="(02) 5554 67"/>
    <s v="Rue Joseph-Bens 532"/>
    <m/>
    <s v="Bruxelles"/>
    <m/>
    <s v="B-1180"/>
    <x v="14"/>
    <s v="EMEA"/>
    <s v="Dewey"/>
    <s v="Catherine"/>
    <s v="Small"/>
  </r>
  <r>
    <n v="10105"/>
    <n v="22"/>
    <n v="100"/>
    <n v="11"/>
    <x v="974"/>
    <d v="2003-02-11T00:00:00"/>
    <s v="Shipped"/>
    <n v="1"/>
    <n v="2"/>
    <x v="0"/>
    <x v="3"/>
    <n v="136"/>
    <s v="S18_3140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6"/>
    <n v="100"/>
    <n v="5"/>
    <x v="975"/>
    <d v="2003-04-16T00:00:00"/>
    <s v="Shipped"/>
    <n v="2"/>
    <n v="4"/>
    <x v="0"/>
    <x v="3"/>
    <n v="136"/>
    <s v="S18_314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8"/>
    <n v="41"/>
    <n v="100"/>
    <n v="2"/>
    <x v="976"/>
    <d v="2003-06-06T00:00:00"/>
    <s v="Shipped"/>
    <n v="2"/>
    <n v="6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47"/>
    <n v="100"/>
    <n v="8"/>
    <x v="977"/>
    <d v="2003-08-08T00:00:00"/>
    <s v="Shipped"/>
    <n v="3"/>
    <n v="8"/>
    <x v="0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31"/>
    <n v="100"/>
    <n v="7"/>
    <x v="978"/>
    <d v="2003-09-28T00:00:00"/>
    <s v="Shipped"/>
    <n v="3"/>
    <n v="9"/>
    <x v="0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</r>
  <r>
    <n v="10166"/>
    <n v="43"/>
    <n v="100"/>
    <n v="2"/>
    <x v="979"/>
    <d v="2003-10-21T00:00:00"/>
    <s v="Shipped"/>
    <n v="4"/>
    <n v="10"/>
    <x v="0"/>
    <x v="3"/>
    <n v="136"/>
    <s v="S18_3140"/>
    <s v="FunGiftIdeas.com"/>
    <n v="5085552555"/>
    <s v="1785 First Street"/>
    <m/>
    <s v="New Bedford"/>
    <s v="MA"/>
    <n v="50553"/>
    <x v="0"/>
    <s v="NA"/>
    <s v="Benitez"/>
    <s v="Violeta"/>
    <s v="Medium"/>
  </r>
  <r>
    <n v="10177"/>
    <n v="23"/>
    <n v="100"/>
    <n v="9"/>
    <x v="980"/>
    <d v="2003-11-07T00:00:00"/>
    <s v="Shipped"/>
    <n v="4"/>
    <n v="11"/>
    <x v="0"/>
    <x v="3"/>
    <n v="136"/>
    <s v="S18_3140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28"/>
    <n v="100"/>
    <n v="9"/>
    <x v="981"/>
    <d v="2003-11-14T00:00:00"/>
    <s v="Shipped"/>
    <n v="4"/>
    <n v="11"/>
    <x v="0"/>
    <x v="3"/>
    <n v="136"/>
    <s v="S18_3140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49"/>
    <n v="100"/>
    <n v="1"/>
    <x v="982"/>
    <d v="2003-11-26T00:00:00"/>
    <s v="Shipped"/>
    <n v="4"/>
    <n v="11"/>
    <x v="0"/>
    <x v="3"/>
    <n v="136"/>
    <s v="S18_3140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24"/>
    <n v="100"/>
    <n v="9"/>
    <x v="983"/>
    <d v="2004-01-02T00:00:00"/>
    <s v="Shipped"/>
    <n v="1"/>
    <n v="1"/>
    <x v="1"/>
    <x v="3"/>
    <n v="136"/>
    <s v="S18_3140"/>
    <s v="Saveley &amp; Henriot, Co."/>
    <s v="78.32.5555"/>
    <s v="2, rue du Commerce"/>
    <m/>
    <s v="Lyon"/>
    <m/>
    <n v="69004"/>
    <x v="1"/>
    <s v="EMEA"/>
    <s v="Saveley"/>
    <s v="Mary"/>
    <s v="Small"/>
  </r>
  <r>
    <n v="10221"/>
    <n v="33"/>
    <n v="100"/>
    <n v="3"/>
    <x v="984"/>
    <d v="2004-02-18T00:00:00"/>
    <s v="Shipped"/>
    <n v="1"/>
    <n v="2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22"/>
    <n v="100"/>
    <n v="6"/>
    <x v="985"/>
    <d v="2004-03-20T00:00:00"/>
    <s v="Shipped"/>
    <n v="1"/>
    <n v="3"/>
    <x v="1"/>
    <x v="3"/>
    <n v="136"/>
    <s v="S18_314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2"/>
    <n v="100"/>
    <n v="12"/>
    <x v="986"/>
    <d v="2004-05-07T00:00:00"/>
    <s v="Cancelled"/>
    <n v="2"/>
    <n v="5"/>
    <x v="1"/>
    <x v="3"/>
    <n v="136"/>
    <s v="S18_3140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40"/>
    <n v="100"/>
    <n v="13"/>
    <x v="987"/>
    <d v="2004-07-21T00:00:00"/>
    <s v="Shipped"/>
    <n v="3"/>
    <n v="7"/>
    <x v="1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s v="Medium"/>
  </r>
  <r>
    <n v="10282"/>
    <n v="43"/>
    <n v="100"/>
    <n v="1"/>
    <x v="988"/>
    <d v="2004-08-20T00:00:00"/>
    <s v="Shipped"/>
    <n v="3"/>
    <n v="8"/>
    <x v="1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4"/>
    <n v="100"/>
    <n v="4"/>
    <x v="989"/>
    <d v="2004-09-09T00:00:00"/>
    <s v="Shipped"/>
    <n v="3"/>
    <n v="9"/>
    <x v="1"/>
    <x v="3"/>
    <n v="136"/>
    <s v="S18_3140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2"/>
    <n v="100"/>
    <n v="9"/>
    <x v="990"/>
    <d v="2004-10-14T00:00:00"/>
    <s v="Shipped"/>
    <n v="4"/>
    <n v="10"/>
    <x v="1"/>
    <x v="3"/>
    <n v="136"/>
    <s v="S18_3140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0"/>
    <n v="100"/>
    <n v="1"/>
    <x v="991"/>
    <d v="2004-10-22T00:00:00"/>
    <s v="Shipped"/>
    <n v="4"/>
    <n v="10"/>
    <x v="1"/>
    <x v="3"/>
    <n v="136"/>
    <s v="S18_3140"/>
    <s v="Heintze Collectables"/>
    <s v="86 21 3555"/>
    <s v="Smagsloget 45"/>
    <m/>
    <s v="Aaarhus"/>
    <m/>
    <n v="8200"/>
    <x v="13"/>
    <s v="EMEA"/>
    <s v="Ibsen"/>
    <s v="Palle"/>
    <s v="Small"/>
  </r>
  <r>
    <n v="10325"/>
    <n v="24"/>
    <n v="69.12"/>
    <n v="9"/>
    <x v="992"/>
    <d v="2004-11-05T00:00:00"/>
    <s v="Shipped"/>
    <n v="4"/>
    <n v="11"/>
    <x v="1"/>
    <x v="3"/>
    <n v="136"/>
    <s v="S18_3140"/>
    <s v="Baane Mini Imports"/>
    <s v="07-98 9555"/>
    <s v="Erling Skakkes gate 78"/>
    <m/>
    <s v="Stavern"/>
    <m/>
    <n v="4110"/>
    <x v="2"/>
    <s v="EMEA"/>
    <s v="Bergulfsen"/>
    <s v="Jonas"/>
    <s v="Small"/>
  </r>
  <r>
    <n v="10336"/>
    <n v="48"/>
    <n v="100"/>
    <n v="12"/>
    <x v="993"/>
    <d v="2004-11-20T00:00:00"/>
    <s v="Shipped"/>
    <n v="4"/>
    <n v="11"/>
    <x v="1"/>
    <x v="3"/>
    <n v="136"/>
    <s v="S18_3140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50"/>
    <n v="44"/>
    <n v="100"/>
    <n v="1"/>
    <x v="994"/>
    <d v="2004-12-02T00:00:00"/>
    <s v="Shipped"/>
    <n v="4"/>
    <n v="12"/>
    <x v="1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28"/>
    <n v="100"/>
    <n v="3"/>
    <x v="995"/>
    <d v="2005-01-26T00:00:00"/>
    <s v="Shipped"/>
    <n v="1"/>
    <n v="1"/>
    <x v="2"/>
    <x v="3"/>
    <n v="136"/>
    <s v="S18_3140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3"/>
    <n v="24"/>
    <n v="61.52"/>
    <n v="9"/>
    <x v="996"/>
    <d v="2005-02-22T00:00:00"/>
    <s v="Shipped"/>
    <n v="1"/>
    <n v="2"/>
    <x v="2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s v="Small"/>
  </r>
  <r>
    <n v="10396"/>
    <n v="33"/>
    <n v="100"/>
    <n v="2"/>
    <x v="997"/>
    <d v="2005-03-23T00:00:00"/>
    <s v="Shipped"/>
    <n v="1"/>
    <n v="3"/>
    <x v="2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41"/>
    <n v="100"/>
    <n v="12"/>
    <x v="998"/>
    <d v="2005-05-06T00:00:00"/>
    <s v="On Hold"/>
    <n v="2"/>
    <n v="5"/>
    <x v="2"/>
    <x v="3"/>
    <n v="136"/>
    <s v="S18_3140"/>
    <s v="Gifts4AllAges.com"/>
    <n v="6175559555"/>
    <s v="8616 Spinnaker Dr."/>
    <m/>
    <s v="Boston"/>
    <s v="MA"/>
    <n v="51003"/>
    <x v="0"/>
    <s v="NA"/>
    <s v="Yoshido"/>
    <s v="Juri"/>
    <s v="Medium"/>
  </r>
  <r>
    <n v="10104"/>
    <n v="23"/>
    <n v="100"/>
    <n v="13"/>
    <x v="999"/>
    <d v="2003-01-31T00:00:00"/>
    <s v="Shipped"/>
    <n v="1"/>
    <n v="1"/>
    <x v="0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109"/>
    <n v="46"/>
    <n v="100"/>
    <n v="5"/>
    <x v="1000"/>
    <d v="2003-03-10T00:00:00"/>
    <s v="Shipped"/>
    <n v="1"/>
    <n v="3"/>
    <x v="0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s v="Large"/>
  </r>
  <r>
    <n v="10114"/>
    <n v="48"/>
    <n v="100"/>
    <n v="4"/>
    <x v="1001"/>
    <d v="2003-04-01T00:00:00"/>
    <s v="Shipped"/>
    <n v="2"/>
    <n v="4"/>
    <x v="0"/>
    <x v="1"/>
    <n v="169"/>
    <s v="S18_3232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122"/>
    <n v="25"/>
    <n v="100"/>
    <n v="3"/>
    <x v="1002"/>
    <d v="2003-05-08T00:00:00"/>
    <s v="Shipped"/>
    <n v="2"/>
    <n v="5"/>
    <x v="0"/>
    <x v="1"/>
    <n v="169"/>
    <s v="S18_3232"/>
    <s v="Marseille Mini Autos"/>
    <s v="91.24.4555"/>
    <s v="12, rue des Bouchers"/>
    <m/>
    <s v="Marseille"/>
    <m/>
    <n v="13008"/>
    <x v="1"/>
    <s v="EMEA"/>
    <s v="Lebihan"/>
    <s v="Laurence"/>
    <s v="Medium"/>
  </r>
  <r>
    <n v="10127"/>
    <n v="22"/>
    <n v="100"/>
    <n v="15"/>
    <x v="1003"/>
    <d v="2003-06-03T00:00:00"/>
    <s v="Shipped"/>
    <n v="2"/>
    <n v="6"/>
    <x v="0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36"/>
    <n v="41"/>
    <n v="100"/>
    <n v="3"/>
    <x v="1004"/>
    <d v="2003-07-04T00:00:00"/>
    <s v="Shipped"/>
    <n v="3"/>
    <n v="7"/>
    <x v="0"/>
    <x v="1"/>
    <n v="169"/>
    <s v="S18_3232"/>
    <s v="Alpha Cognac"/>
    <s v="61.77.6555"/>
    <s v="1 rue Alsace-Lorraine"/>
    <m/>
    <s v="Toulouse"/>
    <m/>
    <n v="31000"/>
    <x v="1"/>
    <s v="EMEA"/>
    <s v="Roulet"/>
    <s v="Annette"/>
    <s v="Large"/>
  </r>
  <r>
    <n v="10141"/>
    <n v="34"/>
    <n v="100"/>
    <n v="9"/>
    <x v="1005"/>
    <d v="2003-08-01T00:00:00"/>
    <s v="Shipped"/>
    <n v="3"/>
    <n v="8"/>
    <x v="0"/>
    <x v="1"/>
    <n v="169"/>
    <s v="S18_323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48"/>
    <n v="32"/>
    <n v="100"/>
    <n v="14"/>
    <x v="1006"/>
    <d v="2003-09-11T00:00:00"/>
    <s v="Shipped"/>
    <n v="3"/>
    <n v="9"/>
    <x v="0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51"/>
    <n v="21"/>
    <n v="100"/>
    <n v="7"/>
    <x v="1007"/>
    <d v="2003-09-21T00:00:00"/>
    <s v="Shipped"/>
    <n v="3"/>
    <n v="9"/>
    <x v="0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s v="Medium"/>
  </r>
  <r>
    <n v="10160"/>
    <n v="20"/>
    <n v="100"/>
    <n v="1"/>
    <x v="1008"/>
    <d v="2003-10-11T00:00:00"/>
    <s v="Shipped"/>
    <n v="4"/>
    <n v="10"/>
    <x v="0"/>
    <x v="1"/>
    <n v="169"/>
    <s v="S18_3232"/>
    <s v="Men 'R' US Retailers, Ltd."/>
    <n v="2155554369"/>
    <s v="6047 Douglas Av."/>
    <m/>
    <s v="Los Angeles"/>
    <s v="CA"/>
    <m/>
    <x v="0"/>
    <s v="NA"/>
    <s v="Chandler"/>
    <s v="Michael"/>
    <s v="Medium"/>
  </r>
  <r>
    <n v="10165"/>
    <n v="47"/>
    <n v="100"/>
    <n v="16"/>
    <x v="1009"/>
    <d v="2003-10-22T00:00:00"/>
    <s v="Shipped"/>
    <n v="4"/>
    <n v="10"/>
    <x v="0"/>
    <x v="1"/>
    <n v="169"/>
    <s v="S18_3232"/>
    <s v="Dragon Souveniers, Ltd."/>
    <s v="+65 221 7555"/>
    <s v="Bronz Sok., Bronz Apt. 3/6 Tesvikiye"/>
    <m/>
    <s v="Singapore"/>
    <m/>
    <n v="79903"/>
    <x v="9"/>
    <s v="Japan"/>
    <s v="Natividad"/>
    <s v="Eric"/>
    <s v="Large"/>
  </r>
  <r>
    <n v="10171"/>
    <n v="39"/>
    <n v="100"/>
    <n v="3"/>
    <x v="1010"/>
    <d v="2003-11-05T00:00:00"/>
    <s v="Shipped"/>
    <n v="4"/>
    <n v="11"/>
    <x v="0"/>
    <x v="1"/>
    <n v="169"/>
    <s v="S18_3232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175"/>
    <n v="29"/>
    <n v="100"/>
    <n v="5"/>
    <x v="1011"/>
    <d v="2003-11-06T00:00:00"/>
    <s v="Shipped"/>
    <n v="4"/>
    <n v="11"/>
    <x v="0"/>
    <x v="1"/>
    <n v="169"/>
    <s v="S18_3232"/>
    <s v="Stylish Desk Decors, Co."/>
    <s v="(171) 555-0297"/>
    <s v="35 King George"/>
    <m/>
    <s v="London"/>
    <m/>
    <s v="WX3 6FW"/>
    <x v="6"/>
    <s v="EMEA"/>
    <s v="Brown"/>
    <s v="Ann"/>
    <s v="Medium"/>
  </r>
  <r>
    <n v="10181"/>
    <n v="45"/>
    <n v="100"/>
    <n v="7"/>
    <x v="1012"/>
    <d v="2003-11-12T00:00:00"/>
    <s v="Shipped"/>
    <n v="4"/>
    <n v="11"/>
    <x v="0"/>
    <x v="1"/>
    <n v="169"/>
    <s v="S18_3232"/>
    <s v="Herkku Gifts"/>
    <s v="+47 2267 3215"/>
    <s v="Drammen 121, PR 744 Sentrum"/>
    <m/>
    <s v="Bergen"/>
    <m/>
    <s v="N 5804"/>
    <x v="2"/>
    <s v="EMEA"/>
    <s v="Oeztan"/>
    <s v="Veysel"/>
    <s v="Medium"/>
  </r>
  <r>
    <n v="10184"/>
    <n v="28"/>
    <n v="100"/>
    <n v="10"/>
    <x v="1013"/>
    <d v="2003-11-14T00:00:00"/>
    <s v="Shipped"/>
    <n v="4"/>
    <n v="11"/>
    <x v="0"/>
    <x v="1"/>
    <n v="169"/>
    <s v="S18_3232"/>
    <s v="Iberia Gift Imports, Corp."/>
    <s v="(95) 555 82 82"/>
    <s v="C/ Romero, 33"/>
    <m/>
    <s v="Sevilla"/>
    <m/>
    <n v="41101"/>
    <x v="7"/>
    <s v="EMEA"/>
    <s v="Roel"/>
    <s v="Jose Pedro"/>
    <s v="Medium"/>
  </r>
  <r>
    <n v="10192"/>
    <n v="26"/>
    <n v="100"/>
    <n v="12"/>
    <x v="1014"/>
    <d v="2003-11-20T00:00:00"/>
    <s v="Shipped"/>
    <n v="4"/>
    <n v="11"/>
    <x v="0"/>
    <x v="1"/>
    <n v="169"/>
    <s v="S18_323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195"/>
    <n v="50"/>
    <n v="100"/>
    <n v="10"/>
    <x v="1015"/>
    <d v="2003-11-25T00:00:00"/>
    <s v="Shipped"/>
    <n v="4"/>
    <n v="11"/>
    <x v="0"/>
    <x v="1"/>
    <n v="169"/>
    <s v="S18_3232"/>
    <s v="Mini Classics"/>
    <n v="9145554562"/>
    <s v="3758 North Pendale Street"/>
    <m/>
    <s v="White Plains"/>
    <s v="NY"/>
    <n v="24067"/>
    <x v="0"/>
    <s v="NA"/>
    <s v="Frick"/>
    <s v="Steve"/>
    <s v="Large"/>
  </r>
  <r>
    <n v="10203"/>
    <n v="48"/>
    <n v="100"/>
    <n v="1"/>
    <x v="1016"/>
    <d v="2003-12-02T00:00:00"/>
    <s v="Shipped"/>
    <n v="4"/>
    <n v="12"/>
    <x v="0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Large"/>
  </r>
  <r>
    <n v="10207"/>
    <n v="25"/>
    <n v="100"/>
    <n v="11"/>
    <x v="1017"/>
    <d v="2003-12-09T00:00:00"/>
    <s v="Shipped"/>
    <n v="4"/>
    <n v="12"/>
    <x v="0"/>
    <x v="1"/>
    <n v="169"/>
    <s v="S18_3232"/>
    <s v="Diecast Collectables"/>
    <n v="6175552555"/>
    <s v="6251 Ingle Ln."/>
    <m/>
    <s v="Boston"/>
    <s v="MA"/>
    <n v="51003"/>
    <x v="0"/>
    <s v="NA"/>
    <s v="Franco"/>
    <s v="Valarie"/>
    <s v="Medium"/>
  </r>
  <r>
    <n v="10212"/>
    <n v="40"/>
    <n v="100"/>
    <n v="11"/>
    <x v="1018"/>
    <d v="2004-01-16T00:00:00"/>
    <s v="Shipped"/>
    <n v="1"/>
    <n v="1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43"/>
    <n v="100"/>
    <n v="2"/>
    <x v="1019"/>
    <d v="2004-02-22T00:00:00"/>
    <s v="Shipped"/>
    <n v="1"/>
    <n v="2"/>
    <x v="1"/>
    <x v="1"/>
    <n v="169"/>
    <s v="S18_3232"/>
    <s v="Vida Sport, Ltd"/>
    <s v="0897-034555"/>
    <s v="Grenzacherweg 237"/>
    <m/>
    <s v="Gensve"/>
    <m/>
    <n v="1203"/>
    <x v="17"/>
    <s v="EMEA"/>
    <s v="Holz"/>
    <s v="Michael"/>
    <s v="Medium"/>
  </r>
  <r>
    <n v="10229"/>
    <n v="22"/>
    <n v="100"/>
    <n v="5"/>
    <x v="1020"/>
    <d v="2004-03-11T00:00:00"/>
    <s v="Shipped"/>
    <n v="1"/>
    <n v="3"/>
    <x v="1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39"/>
    <n v="47"/>
    <n v="100"/>
    <n v="1"/>
    <x v="1021"/>
    <d v="2004-04-12T00:00:00"/>
    <s v="Shipped"/>
    <n v="2"/>
    <n v="4"/>
    <x v="1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s v="Large"/>
  </r>
  <r>
    <n v="10246"/>
    <n v="36"/>
    <n v="100"/>
    <n v="9"/>
    <x v="1022"/>
    <d v="2004-05-05T00:00:00"/>
    <s v="Shipped"/>
    <n v="2"/>
    <n v="5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Large"/>
  </r>
  <r>
    <n v="10253"/>
    <n v="40"/>
    <n v="100"/>
    <n v="6"/>
    <x v="1023"/>
    <d v="2004-06-01T00:00:00"/>
    <s v="Cancelled"/>
    <n v="2"/>
    <n v="6"/>
    <x v="1"/>
    <x v="1"/>
    <n v="169"/>
    <s v="S18_3232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59"/>
    <n v="27"/>
    <n v="100"/>
    <n v="8"/>
    <x v="1024"/>
    <d v="2004-06-15T00:00:00"/>
    <s v="Shipped"/>
    <n v="2"/>
    <n v="6"/>
    <x v="1"/>
    <x v="1"/>
    <n v="169"/>
    <s v="S18_323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66"/>
    <n v="29"/>
    <n v="100"/>
    <n v="7"/>
    <x v="1025"/>
    <d v="2004-07-06T00:00:00"/>
    <s v="Shipped"/>
    <n v="3"/>
    <n v="7"/>
    <x v="1"/>
    <x v="1"/>
    <n v="169"/>
    <s v="S18_323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1"/>
    <n v="20"/>
    <n v="100"/>
    <n v="9"/>
    <x v="1026"/>
    <d v="2004-07-20T00:00:00"/>
    <s v="Shipped"/>
    <n v="3"/>
    <n v="7"/>
    <x v="1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78"/>
    <n v="42"/>
    <n v="100"/>
    <n v="7"/>
    <x v="1027"/>
    <d v="2004-08-06T00:00:00"/>
    <s v="Shipped"/>
    <n v="3"/>
    <n v="8"/>
    <x v="1"/>
    <x v="1"/>
    <n v="169"/>
    <s v="S18_3232"/>
    <s v="Signal Gift Stores"/>
    <n v="7025551838"/>
    <s v="8489 Strong St."/>
    <m/>
    <s v="Las Vegas"/>
    <s v="NV"/>
    <n v="83030"/>
    <x v="0"/>
    <s v="NA"/>
    <s v="King"/>
    <s v="Sue"/>
    <s v="Medium"/>
  </r>
  <r>
    <n v="10281"/>
    <n v="25"/>
    <n v="100"/>
    <n v="5"/>
    <x v="1028"/>
    <d v="2004-08-19T00:00:00"/>
    <s v="Shipped"/>
    <n v="3"/>
    <n v="8"/>
    <x v="1"/>
    <x v="1"/>
    <n v="169"/>
    <s v="S18_3232"/>
    <s v="Diecast Classics Inc."/>
    <n v="2155551555"/>
    <s v="7586 Pompton St."/>
    <m/>
    <s v="Allentown"/>
    <s v="PA"/>
    <n v="70267"/>
    <x v="0"/>
    <s v="NA"/>
    <s v="Yu"/>
    <s v="Kyung"/>
    <s v="Medium"/>
  </r>
  <r>
    <n v="10287"/>
    <n v="36"/>
    <n v="100"/>
    <n v="5"/>
    <x v="1029"/>
    <d v="2004-08-30T00:00:00"/>
    <s v="Shipped"/>
    <n v="3"/>
    <n v="8"/>
    <x v="1"/>
    <x v="1"/>
    <n v="169"/>
    <s v="S18_3232"/>
    <s v="Vida Sport, Ltd"/>
    <s v="0897-034555"/>
    <s v="Grenzacherweg 237"/>
    <m/>
    <s v="Gensve"/>
    <m/>
    <n v="1203"/>
    <x v="17"/>
    <s v="EMEA"/>
    <s v="Holz"/>
    <s v="Michael"/>
    <s v="Medium"/>
  </r>
  <r>
    <n v="10292"/>
    <n v="21"/>
    <n v="100"/>
    <n v="12"/>
    <x v="1030"/>
    <d v="2004-09-08T00:00:00"/>
    <s v="Shipped"/>
    <n v="3"/>
    <n v="9"/>
    <x v="1"/>
    <x v="1"/>
    <n v="169"/>
    <s v="S18_3232"/>
    <s v="Land of Toys Inc."/>
    <n v="2125557818"/>
    <s v="897 Long Airport Avenue"/>
    <m/>
    <s v="NYC"/>
    <s v="NY"/>
    <n v="10022"/>
    <x v="0"/>
    <s v="NA"/>
    <s v="Yu"/>
    <s v="Kwai"/>
    <s v="Small"/>
  </r>
  <r>
    <n v="10301"/>
    <n v="23"/>
    <n v="100"/>
    <n v="9"/>
    <x v="1031"/>
    <d v="2003-10-05T00:00:00"/>
    <s v="Shipped"/>
    <n v="4"/>
    <n v="10"/>
    <x v="0"/>
    <x v="1"/>
    <n v="169"/>
    <s v="S18_3232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05"/>
    <n v="37"/>
    <n v="100"/>
    <n v="9"/>
    <x v="1032"/>
    <d v="2004-10-13T00:00:00"/>
    <s v="Shipped"/>
    <n v="4"/>
    <n v="10"/>
    <x v="1"/>
    <x v="1"/>
    <n v="169"/>
    <s v="S18_3232"/>
    <s v="Marta's Replicas Co."/>
    <n v="6175558555"/>
    <s v="39323 Spinnaker Dr."/>
    <m/>
    <s v="Cambridge"/>
    <s v="MA"/>
    <n v="51247"/>
    <x v="0"/>
    <s v="NA"/>
    <s v="Hernandez"/>
    <s v="Marta"/>
    <s v="Large"/>
  </r>
  <r>
    <n v="10310"/>
    <n v="48"/>
    <n v="100"/>
    <n v="3"/>
    <x v="1033"/>
    <d v="2004-10-16T00:00:00"/>
    <s v="Shipped"/>
    <n v="4"/>
    <n v="10"/>
    <x v="1"/>
    <x v="1"/>
    <n v="169"/>
    <s v="S18_3232"/>
    <s v="Toms Spezialitten, Ltd"/>
    <s v="0221-5554327"/>
    <s v="Mehrheimerstr. 369"/>
    <m/>
    <s v="Koln"/>
    <m/>
    <n v="50739"/>
    <x v="16"/>
    <s v="EMEA"/>
    <s v="Pfalzheim"/>
    <s v="Henriette"/>
    <s v="Large"/>
  </r>
  <r>
    <n v="10313"/>
    <n v="25"/>
    <n v="100"/>
    <n v="3"/>
    <x v="1034"/>
    <d v="2004-10-22T00:00:00"/>
    <s v="Shipped"/>
    <n v="4"/>
    <n v="10"/>
    <x v="1"/>
    <x v="1"/>
    <n v="169"/>
    <s v="S18_3232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1"/>
    <n v="33"/>
    <n v="100"/>
    <n v="11"/>
    <x v="1035"/>
    <d v="2004-11-04T00:00:00"/>
    <s v="Shipped"/>
    <n v="4"/>
    <n v="11"/>
    <x v="1"/>
    <x v="1"/>
    <n v="169"/>
    <s v="S18_3232"/>
    <s v="FunGiftIdeas.com"/>
    <n v="5085552555"/>
    <s v="1785 First Street"/>
    <m/>
    <s v="New Bedford"/>
    <s v="MA"/>
    <n v="50553"/>
    <x v="0"/>
    <s v="NA"/>
    <s v="Benitez"/>
    <s v="Violeta"/>
    <s v="Medium"/>
  </r>
  <r>
    <n v="10324"/>
    <n v="27"/>
    <n v="100"/>
    <n v="12"/>
    <x v="1036"/>
    <d v="2004-11-05T00:00:00"/>
    <s v="Shipped"/>
    <n v="4"/>
    <n v="11"/>
    <x v="1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1"/>
    <n v="27"/>
    <n v="100"/>
    <n v="11"/>
    <x v="1037"/>
    <d v="2004-11-17T00:00:00"/>
    <s v="Shipped"/>
    <n v="4"/>
    <n v="11"/>
    <x v="1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34"/>
    <n v="20"/>
    <n v="100"/>
    <n v="3"/>
    <x v="1038"/>
    <d v="2004-11-19T00:00:00"/>
    <s v="On Hold"/>
    <n v="4"/>
    <n v="11"/>
    <x v="1"/>
    <x v="1"/>
    <n v="169"/>
    <s v="S18_3232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42"/>
    <n v="30"/>
    <n v="100"/>
    <n v="4"/>
    <x v="1039"/>
    <d v="2004-11-24T00:00:00"/>
    <s v="Shipped"/>
    <n v="4"/>
    <n v="11"/>
    <x v="1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49"/>
    <n v="48"/>
    <n v="100"/>
    <n v="6"/>
    <x v="1040"/>
    <d v="2004-12-01T00:00:00"/>
    <s v="Shipped"/>
    <n v="4"/>
    <n v="12"/>
    <x v="1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s v="Large"/>
  </r>
  <r>
    <n v="10358"/>
    <n v="32"/>
    <n v="93.49"/>
    <n v="12"/>
    <x v="1041"/>
    <d v="2004-12-10T00:00:00"/>
    <s v="Shipped"/>
    <n v="4"/>
    <n v="12"/>
    <x v="1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Small"/>
  </r>
  <r>
    <n v="10366"/>
    <n v="34"/>
    <n v="100"/>
    <n v="1"/>
    <x v="1042"/>
    <d v="2005-01-10T00:00:00"/>
    <s v="Shipped"/>
    <n v="1"/>
    <n v="1"/>
    <x v="2"/>
    <x v="1"/>
    <n v="169"/>
    <s v="S18_3232"/>
    <s v="Royale Belge"/>
    <s v="(071) 23 67 2555"/>
    <s v="Boulevard Tirou, 255"/>
    <m/>
    <s v="Charleroi"/>
    <m/>
    <s v="B-6000"/>
    <x v="14"/>
    <s v="EMEA"/>
    <s v="Cartrain"/>
    <s v="Pascale"/>
    <s v="Medium"/>
  </r>
  <r>
    <n v="10370"/>
    <n v="27"/>
    <n v="56.85"/>
    <n v="9"/>
    <x v="1043"/>
    <d v="2005-01-20T00:00:00"/>
    <s v="Shipped"/>
    <n v="1"/>
    <n v="1"/>
    <x v="2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77"/>
    <n v="39"/>
    <n v="100"/>
    <n v="3"/>
    <x v="1044"/>
    <d v="2005-02-09T00:00:00"/>
    <s v="Shipped"/>
    <n v="1"/>
    <n v="2"/>
    <x v="2"/>
    <x v="1"/>
    <n v="169"/>
    <s v="S18_3232"/>
    <s v="Toys of Finland, Co."/>
    <s v="90-224 8555"/>
    <s v="Keskuskatu 45"/>
    <m/>
    <s v="Helsinki"/>
    <m/>
    <n v="21240"/>
    <x v="4"/>
    <s v="EMEA"/>
    <s v="Karttunen"/>
    <s v="Matti"/>
    <s v="Large"/>
  </r>
  <r>
    <n v="10383"/>
    <n v="47"/>
    <n v="100"/>
    <n v="6"/>
    <x v="1045"/>
    <d v="2005-02-22T00:00:00"/>
    <s v="Shipped"/>
    <n v="1"/>
    <n v="2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22"/>
    <n v="100"/>
    <n v="5"/>
    <x v="1046"/>
    <d v="2005-03-15T00:00:00"/>
    <s v="Shipped"/>
    <n v="1"/>
    <n v="3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Medium"/>
  </r>
  <r>
    <n v="10405"/>
    <n v="55"/>
    <n v="100"/>
    <n v="1"/>
    <x v="1047"/>
    <d v="2005-04-14T00:00:00"/>
    <s v="Shipped"/>
    <n v="2"/>
    <n v="4"/>
    <x v="2"/>
    <x v="1"/>
    <n v="169"/>
    <s v="S18_3232"/>
    <s v="Mini Caravy"/>
    <s v="88.60.1555"/>
    <s v="24, place Kluber"/>
    <m/>
    <s v="Strasbourg"/>
    <m/>
    <n v="67000"/>
    <x v="1"/>
    <s v="EMEA"/>
    <s v="Citeaux"/>
    <s v="Frederique"/>
    <s v="Large"/>
  </r>
  <r>
    <n v="10412"/>
    <n v="60"/>
    <n v="100"/>
    <n v="9"/>
    <x v="1048"/>
    <d v="2005-05-03T00:00:00"/>
    <s v="Shipped"/>
    <n v="2"/>
    <n v="5"/>
    <x v="2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s v="Large"/>
  </r>
  <r>
    <n v="10419"/>
    <n v="35"/>
    <n v="100"/>
    <n v="6"/>
    <x v="1049"/>
    <d v="2005-05-17T00:00:00"/>
    <s v="Shipped"/>
    <n v="2"/>
    <n v="5"/>
    <x v="2"/>
    <x v="1"/>
    <n v="169"/>
    <s v="S18_3232"/>
    <s v="Salzburg Collectables"/>
    <s v="6562-9555"/>
    <s v="Geislweg 14"/>
    <m/>
    <s v="Salzburg"/>
    <m/>
    <n v="5020"/>
    <x v="5"/>
    <s v="EMEA"/>
    <s v="Pipps"/>
    <s v="Georg"/>
    <s v="Medium"/>
  </r>
  <r>
    <n v="10425"/>
    <n v="28"/>
    <n v="100"/>
    <n v="8"/>
    <x v="1050"/>
    <d v="2005-05-31T00:00:00"/>
    <s v="In Process"/>
    <n v="2"/>
    <n v="5"/>
    <x v="2"/>
    <x v="1"/>
    <n v="169"/>
    <s v="S18_3232"/>
    <s v="La Rochelle Gifts"/>
    <s v="40.67.8555"/>
    <s v="67, rue des Cinquante Otages"/>
    <m/>
    <s v="Nantes"/>
    <m/>
    <n v="44000"/>
    <x v="1"/>
    <s v="EMEA"/>
    <s v="Labrune"/>
    <s v="Janine"/>
    <s v="Medium"/>
  </r>
  <r>
    <n v="10105"/>
    <n v="38"/>
    <n v="100"/>
    <n v="13"/>
    <x v="1051"/>
    <d v="2003-02-11T00:00:00"/>
    <s v="Shipped"/>
    <n v="1"/>
    <n v="2"/>
    <x v="0"/>
    <x v="6"/>
    <n v="100"/>
    <s v="S18_3259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1"/>
    <n v="95.8"/>
    <n v="7"/>
    <x v="1052"/>
    <d v="2003-04-16T00:00:00"/>
    <s v="Shipped"/>
    <n v="2"/>
    <n v="4"/>
    <x v="0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8"/>
    <n v="41"/>
    <n v="100"/>
    <n v="4"/>
    <x v="1053"/>
    <d v="2003-06-06T00:00:00"/>
    <s v="Shipped"/>
    <n v="2"/>
    <n v="6"/>
    <x v="0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22"/>
    <n v="97.81"/>
    <n v="10"/>
    <x v="1054"/>
    <d v="2003-08-08T00:00:00"/>
    <s v="Shipped"/>
    <n v="3"/>
    <n v="8"/>
    <x v="0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29"/>
    <n v="88.74"/>
    <n v="9"/>
    <x v="1055"/>
    <d v="2003-09-28T00:00:00"/>
    <s v="Shipped"/>
    <n v="3"/>
    <n v="9"/>
    <x v="0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Small"/>
  </r>
  <r>
    <n v="10165"/>
    <n v="50"/>
    <n v="100"/>
    <n v="1"/>
    <x v="1056"/>
    <d v="2003-10-22T00:00:00"/>
    <s v="Shipped"/>
    <n v="4"/>
    <n v="10"/>
    <x v="0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7"/>
    <n v="29"/>
    <n v="100"/>
    <n v="11"/>
    <x v="1057"/>
    <d v="2003-11-07T00:00:00"/>
    <s v="Shipped"/>
    <n v="4"/>
    <n v="11"/>
    <x v="0"/>
    <x v="6"/>
    <n v="100"/>
    <s v="S18_3259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49"/>
    <n v="80.67"/>
    <n v="11"/>
    <x v="1058"/>
    <d v="2003-11-14T00:00:00"/>
    <s v="Shipped"/>
    <n v="4"/>
    <n v="11"/>
    <x v="0"/>
    <x v="6"/>
    <n v="100"/>
    <s v="S18_3259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35"/>
    <n v="100"/>
    <n v="3"/>
    <x v="1059"/>
    <d v="2003-11-26T00:00:00"/>
    <s v="Shipped"/>
    <n v="4"/>
    <n v="11"/>
    <x v="0"/>
    <x v="6"/>
    <n v="100"/>
    <s v="S18_3259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48"/>
    <n v="100"/>
    <n v="11"/>
    <x v="1060"/>
    <d v="2004-01-02T00:00:00"/>
    <s v="Shipped"/>
    <n v="1"/>
    <n v="1"/>
    <x v="1"/>
    <x v="6"/>
    <n v="100"/>
    <s v="S18_3259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23"/>
    <n v="80.67"/>
    <n v="5"/>
    <x v="1061"/>
    <d v="2004-02-18T00:00:00"/>
    <s v="Shipped"/>
    <n v="1"/>
    <n v="2"/>
    <x v="1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s v="Small"/>
  </r>
  <r>
    <n v="10232"/>
    <n v="48"/>
    <n v="95.8"/>
    <n v="8"/>
    <x v="1062"/>
    <d v="2004-03-20T00:00:00"/>
    <s v="Shipped"/>
    <n v="1"/>
    <n v="3"/>
    <x v="1"/>
    <x v="6"/>
    <n v="100"/>
    <s v="S18_3259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2"/>
    <n v="100"/>
    <n v="14"/>
    <x v="1063"/>
    <d v="2004-05-07T00:00:00"/>
    <s v="Cancelled"/>
    <n v="2"/>
    <n v="5"/>
    <x v="1"/>
    <x v="6"/>
    <n v="100"/>
    <s v="S18_3259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47"/>
    <n v="100"/>
    <n v="15"/>
    <x v="1064"/>
    <d v="2004-07-21T00:00:00"/>
    <s v="Shipped"/>
    <n v="3"/>
    <n v="7"/>
    <x v="1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s v="Medium"/>
  </r>
  <r>
    <n v="10282"/>
    <n v="36"/>
    <n v="100"/>
    <n v="3"/>
    <x v="1065"/>
    <d v="2004-08-20T00:00:00"/>
    <s v="Shipped"/>
    <n v="3"/>
    <n v="8"/>
    <x v="1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2"/>
    <n v="100"/>
    <n v="6"/>
    <x v="1066"/>
    <d v="2004-09-09T00:00:00"/>
    <s v="Shipped"/>
    <n v="3"/>
    <n v="9"/>
    <x v="1"/>
    <x v="6"/>
    <n v="100"/>
    <s v="S18_3259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40"/>
    <n v="91.76"/>
    <n v="11"/>
    <x v="1067"/>
    <d v="2004-10-14T00:00:00"/>
    <s v="Shipped"/>
    <n v="4"/>
    <n v="10"/>
    <x v="1"/>
    <x v="6"/>
    <n v="100"/>
    <s v="S18_3259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100"/>
    <n v="3"/>
    <x v="1068"/>
    <d v="2004-10-22T00:00:00"/>
    <s v="Shipped"/>
    <n v="4"/>
    <n v="10"/>
    <x v="1"/>
    <x v="6"/>
    <n v="100"/>
    <s v="S18_3259"/>
    <s v="Heintze Collectables"/>
    <s v="86 21 3555"/>
    <s v="Smagsloget 45"/>
    <m/>
    <s v="Aaarhus"/>
    <m/>
    <n v="8200"/>
    <x v="13"/>
    <s v="EMEA"/>
    <s v="Ibsen"/>
    <s v="Palle"/>
    <s v="Small"/>
  </r>
  <r>
    <n v="10326"/>
    <n v="32"/>
    <n v="100"/>
    <n v="6"/>
    <x v="1069"/>
    <d v="2004-11-09T00:00:00"/>
    <s v="Shipped"/>
    <n v="4"/>
    <n v="11"/>
    <x v="1"/>
    <x v="6"/>
    <n v="100"/>
    <s v="S18_3259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6"/>
    <n v="21"/>
    <n v="100"/>
    <n v="7"/>
    <x v="1070"/>
    <d v="2004-11-20T00:00:00"/>
    <s v="Shipped"/>
    <n v="4"/>
    <n v="11"/>
    <x v="1"/>
    <x v="6"/>
    <n v="100"/>
    <s v="S18_3259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50"/>
    <n v="41"/>
    <n v="93.04"/>
    <n v="2"/>
    <x v="1071"/>
    <d v="2004-12-02T00:00:00"/>
    <s v="Shipped"/>
    <n v="4"/>
    <n v="12"/>
    <x v="1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25"/>
    <n v="84.71"/>
    <n v="5"/>
    <x v="1072"/>
    <d v="2005-01-26T00:00:00"/>
    <s v="Shipped"/>
    <n v="1"/>
    <n v="1"/>
    <x v="2"/>
    <x v="6"/>
    <n v="100"/>
    <s v="S18_3259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83"/>
    <n v="26"/>
    <n v="100"/>
    <n v="12"/>
    <x v="1073"/>
    <d v="2005-02-22T00:00:00"/>
    <s v="Shipped"/>
    <n v="1"/>
    <n v="2"/>
    <x v="2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s v="Medium"/>
  </r>
  <r>
    <n v="10396"/>
    <n v="24"/>
    <n v="89.75"/>
    <n v="4"/>
    <x v="1074"/>
    <d v="2005-03-23T00:00:00"/>
    <s v="Shipped"/>
    <n v="1"/>
    <n v="3"/>
    <x v="2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48"/>
    <n v="100"/>
    <n v="14"/>
    <x v="1075"/>
    <d v="2005-05-06T00:00:00"/>
    <s v="On Hold"/>
    <n v="2"/>
    <n v="5"/>
    <x v="2"/>
    <x v="6"/>
    <n v="100"/>
    <s v="S18_3259"/>
    <s v="Gifts4AllAges.com"/>
    <n v="6175559555"/>
    <s v="8616 Spinnaker Dr."/>
    <m/>
    <s v="Boston"/>
    <s v="MA"/>
    <n v="51003"/>
    <x v="0"/>
    <s v="NA"/>
    <s v="Yoshido"/>
    <s v="Juri"/>
    <s v="Medium"/>
  </r>
  <r>
    <n v="10108"/>
    <n v="26"/>
    <n v="68.349999999999994"/>
    <n v="9"/>
    <x v="1076"/>
    <d v="2003-03-03T00:00:00"/>
    <s v="Shipped"/>
    <n v="1"/>
    <n v="3"/>
    <x v="0"/>
    <x v="1"/>
    <n v="80"/>
    <s v="S18_3278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1"/>
    <n v="73.17"/>
    <n v="13"/>
    <x v="1077"/>
    <d v="2003-05-08T00:00:00"/>
    <s v="Shipped"/>
    <n v="2"/>
    <n v="5"/>
    <x v="0"/>
    <x v="1"/>
    <n v="80"/>
    <s v="S18_3278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5"/>
    <n v="78"/>
    <n v="10"/>
    <x v="1078"/>
    <d v="2003-07-02T00:00:00"/>
    <s v="Shipped"/>
    <n v="3"/>
    <n v="7"/>
    <x v="0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6"/>
    <n v="86.04"/>
    <n v="10"/>
    <x v="1079"/>
    <d v="2003-09-05T00:00:00"/>
    <s v="Shipped"/>
    <n v="3"/>
    <n v="9"/>
    <x v="0"/>
    <x v="1"/>
    <n v="80"/>
    <s v="S18_3278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59"/>
    <n v="21"/>
    <n v="81.209999999999994"/>
    <n v="5"/>
    <x v="1080"/>
    <d v="2003-10-10T00:00:00"/>
    <s v="Shipped"/>
    <n v="4"/>
    <n v="10"/>
    <x v="0"/>
    <x v="1"/>
    <n v="80"/>
    <s v="S18_3278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2"/>
    <n v="70.760000000000005"/>
    <n v="5"/>
    <x v="1081"/>
    <d v="2003-11-04T00:00:00"/>
    <s v="Shipped"/>
    <n v="4"/>
    <n v="11"/>
    <x v="0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30"/>
    <n v="82.82"/>
    <n v="17"/>
    <x v="1082"/>
    <d v="2003-11-12T00:00:00"/>
    <s v="Shipped"/>
    <n v="4"/>
    <n v="11"/>
    <x v="0"/>
    <x v="1"/>
    <n v="80"/>
    <s v="S18_3278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36"/>
    <n v="94.88"/>
    <n v="6"/>
    <x v="1083"/>
    <d v="2003-11-20T00:00:00"/>
    <s v="Shipped"/>
    <n v="4"/>
    <n v="11"/>
    <x v="0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33"/>
    <n v="86.04"/>
    <n v="11"/>
    <x v="1084"/>
    <d v="2003-12-02T00:00:00"/>
    <s v="Shipped"/>
    <n v="4"/>
    <n v="12"/>
    <x v="0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35"/>
    <n v="78"/>
    <n v="5"/>
    <x v="1085"/>
    <d v="2004-01-15T00:00:00"/>
    <s v="Shipped"/>
    <n v="1"/>
    <n v="1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37"/>
    <n v="95.69"/>
    <n v="12"/>
    <x v="1086"/>
    <d v="2004-02-22T00:00:00"/>
    <s v="Shipped"/>
    <n v="1"/>
    <n v="2"/>
    <x v="1"/>
    <x v="1"/>
    <n v="80"/>
    <s v="S18_3278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1"/>
    <n v="73.17"/>
    <n v="6"/>
    <x v="1087"/>
    <d v="2004-04-09T00:00:00"/>
    <s v="Shipped"/>
    <n v="2"/>
    <n v="4"/>
    <x v="1"/>
    <x v="1"/>
    <n v="80"/>
    <s v="S18_3278"/>
    <s v="Danish Wholesale Imports"/>
    <s v="31 12 3555"/>
    <s v="Vinb'ltet 34"/>
    <m/>
    <s v="Kobenhavn"/>
    <m/>
    <n v="1734"/>
    <x v="13"/>
    <s v="EMEA"/>
    <s v="Petersen"/>
    <s v="Jytte"/>
    <s v="Small"/>
  </r>
  <r>
    <n v="10252"/>
    <n v="20"/>
    <n v="76.39"/>
    <n v="2"/>
    <x v="1088"/>
    <d v="2004-05-26T00:00:00"/>
    <s v="Shipped"/>
    <n v="2"/>
    <n v="5"/>
    <x v="1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s v="Small"/>
  </r>
  <r>
    <n v="10265"/>
    <n v="45"/>
    <n v="86.84"/>
    <n v="2"/>
    <x v="1089"/>
    <d v="2004-07-02T00:00:00"/>
    <s v="Shipped"/>
    <n v="3"/>
    <n v="7"/>
    <x v="1"/>
    <x v="1"/>
    <n v="80"/>
    <s v="S18_3278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276"/>
    <n v="38"/>
    <n v="69.959999999999994"/>
    <n v="6"/>
    <x v="1090"/>
    <d v="2004-08-02T00:00:00"/>
    <s v="Shipped"/>
    <n v="3"/>
    <n v="8"/>
    <x v="1"/>
    <x v="1"/>
    <n v="80"/>
    <s v="S18_3278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7"/>
    <n v="43"/>
    <n v="70.760000000000005"/>
    <n v="15"/>
    <x v="1091"/>
    <d v="2004-08-30T00:00:00"/>
    <s v="Shipped"/>
    <n v="3"/>
    <n v="8"/>
    <x v="1"/>
    <x v="1"/>
    <n v="80"/>
    <s v="S18_3278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49"/>
    <n v="78.8"/>
    <n v="8"/>
    <x v="1092"/>
    <d v="2003-10-04T00:00:00"/>
    <s v="Shipped"/>
    <n v="4"/>
    <n v="10"/>
    <x v="0"/>
    <x v="1"/>
    <n v="80"/>
    <s v="S18_3278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27"/>
    <n v="80.41"/>
    <n v="13"/>
    <x v="1093"/>
    <d v="2004-10-16T00:00:00"/>
    <s v="Shipped"/>
    <n v="4"/>
    <n v="10"/>
    <x v="1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46"/>
    <n v="73.98"/>
    <n v="1"/>
    <x v="1094"/>
    <d v="2004-11-03T00:00:00"/>
    <s v="Shipped"/>
    <n v="4"/>
    <n v="11"/>
    <x v="1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29"/>
    <n v="38"/>
    <n v="59.1"/>
    <n v="10"/>
    <x v="1095"/>
    <d v="2004-11-15T00:00:00"/>
    <s v="Shipped"/>
    <n v="4"/>
    <n v="11"/>
    <x v="1"/>
    <x v="1"/>
    <n v="80"/>
    <s v="S18_3278"/>
    <s v="Land of Toys Inc."/>
    <n v="2125557818"/>
    <s v="897 Long Airport Avenue"/>
    <m/>
    <s v="NYC"/>
    <s v="NY"/>
    <n v="10022"/>
    <x v="0"/>
    <s v="NA"/>
    <s v="Yu"/>
    <s v="Kwai"/>
    <s v="Small"/>
  </r>
  <r>
    <n v="10342"/>
    <n v="25"/>
    <n v="66.739999999999995"/>
    <n v="5"/>
    <x v="1096"/>
    <d v="2004-11-24T00:00:00"/>
    <s v="Shipped"/>
    <n v="4"/>
    <n v="11"/>
    <x v="1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63"/>
    <n v="46"/>
    <n v="60.3"/>
    <n v="10"/>
    <x v="1097"/>
    <d v="2005-01-06T00:00:00"/>
    <s v="Shipped"/>
    <n v="1"/>
    <n v="1"/>
    <x v="2"/>
    <x v="1"/>
    <n v="80"/>
    <s v="S18_3278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22"/>
    <n v="100"/>
    <n v="4"/>
    <x v="1098"/>
    <d v="2005-02-10T00:00:00"/>
    <s v="Shipped"/>
    <n v="1"/>
    <n v="2"/>
    <x v="2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0"/>
    <n v="100"/>
    <n v="9"/>
    <x v="1099"/>
    <d v="2005-03-04T00:00:00"/>
    <s v="Shipped"/>
    <n v="1"/>
    <n v="3"/>
    <x v="2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03"/>
    <n v="46"/>
    <n v="100"/>
    <n v="16"/>
    <x v="1100"/>
    <d v="2003-01-29T00:00:00"/>
    <s v="Shipped"/>
    <n v="1"/>
    <n v="1"/>
    <x v="0"/>
    <x v="3"/>
    <n v="99"/>
    <s v="S18_3320"/>
    <s v="Baane Mini Imports"/>
    <s v="07-98 9555"/>
    <s v="Erling Skakkes gate 78"/>
    <m/>
    <s v="Stavern"/>
    <m/>
    <n v="4110"/>
    <x v="2"/>
    <s v="EMEA"/>
    <s v="Bergulfsen"/>
    <s v="Jonas"/>
    <s v="Medium"/>
  </r>
  <r>
    <n v="10111"/>
    <n v="39"/>
    <n v="100"/>
    <n v="4"/>
    <x v="1101"/>
    <d v="2003-03-25T00:00:00"/>
    <s v="Shipped"/>
    <n v="1"/>
    <n v="3"/>
    <x v="0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s v="Medium"/>
  </r>
  <r>
    <n v="10126"/>
    <n v="38"/>
    <n v="82.34"/>
    <n v="16"/>
    <x v="1102"/>
    <d v="2003-05-28T00:00:00"/>
    <s v="Shipped"/>
    <n v="2"/>
    <n v="5"/>
    <x v="0"/>
    <x v="3"/>
    <n v="99"/>
    <s v="S18_3320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30"/>
    <n v="100"/>
    <n v="5"/>
    <x v="1103"/>
    <d v="2003-07-16T00:00:00"/>
    <s v="Shipped"/>
    <n v="3"/>
    <n v="7"/>
    <x v="0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42"/>
    <n v="94.25"/>
    <n v="2"/>
    <x v="1104"/>
    <d v="2003-09-12T00:00:00"/>
    <s v="Shipped"/>
    <n v="3"/>
    <n v="9"/>
    <x v="0"/>
    <x v="3"/>
    <n v="99"/>
    <s v="S18_3320"/>
    <s v="Signal Collectibles Ltd."/>
    <n v="4155554312"/>
    <s v="2793 Furth Circle"/>
    <m/>
    <s v="Brisbane"/>
    <s v="CA"/>
    <n v="94217"/>
    <x v="0"/>
    <s v="NA"/>
    <s v="Taylor"/>
    <s v="Sue"/>
    <s v="Medium"/>
  </r>
  <r>
    <n v="10163"/>
    <n v="43"/>
    <n v="100"/>
    <n v="6"/>
    <x v="1105"/>
    <d v="2003-10-20T00:00:00"/>
    <s v="Shipped"/>
    <n v="4"/>
    <n v="10"/>
    <x v="0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9"/>
    <n v="95.24"/>
    <n v="4"/>
    <x v="1106"/>
    <d v="2003-11-05T00:00:00"/>
    <s v="Shipped"/>
    <n v="4"/>
    <n v="11"/>
    <x v="0"/>
    <x v="3"/>
    <n v="99"/>
    <s v="S18_3320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3"/>
    <n v="86.31"/>
    <n v="1"/>
    <x v="1107"/>
    <d v="2003-11-12T00:00:00"/>
    <s v="Shipped"/>
    <n v="4"/>
    <n v="11"/>
    <x v="0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32"/>
    <n v="79.37"/>
    <n v="5"/>
    <x v="1108"/>
    <d v="2003-11-21T00:00:00"/>
    <s v="Shipped"/>
    <n v="4"/>
    <n v="11"/>
    <x v="0"/>
    <x v="3"/>
    <n v="99"/>
    <s v="S18_3320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28"/>
    <n v="87.3"/>
    <n v="11"/>
    <x v="1109"/>
    <d v="2003-12-05T00:00:00"/>
    <s v="Shipped"/>
    <n v="4"/>
    <n v="12"/>
    <x v="0"/>
    <x v="3"/>
    <n v="99"/>
    <s v="S18_3320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41"/>
    <n v="100"/>
    <n v="8"/>
    <x v="1110"/>
    <d v="2004-01-29T00:00:00"/>
    <s v="Shipped"/>
    <n v="1"/>
    <n v="1"/>
    <x v="1"/>
    <x v="3"/>
    <n v="99"/>
    <s v="S18_3320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7"/>
    <n v="33"/>
    <n v="100"/>
    <n v="1"/>
    <x v="1111"/>
    <d v="2004-03-02T00:00:00"/>
    <s v="Shipped"/>
    <n v="1"/>
    <n v="3"/>
    <x v="1"/>
    <x v="3"/>
    <n v="99"/>
    <s v="S18_3320"/>
    <s v="Saveley &amp; Henriot, Co."/>
    <s v="78.32.5555"/>
    <s v="2, rue du Commerce"/>
    <m/>
    <s v="Lyon"/>
    <m/>
    <n v="69004"/>
    <x v="1"/>
    <s v="EMEA"/>
    <s v="Saveley"/>
    <s v="Mary"/>
    <s v="Medium"/>
  </r>
  <r>
    <n v="10244"/>
    <n v="36"/>
    <n v="84.33"/>
    <n v="5"/>
    <x v="1112"/>
    <d v="2004-04-29T00:00:00"/>
    <s v="Shipped"/>
    <n v="2"/>
    <n v="4"/>
    <x v="1"/>
    <x v="3"/>
    <n v="99"/>
    <s v="S18_3320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26"/>
    <n v="89.29"/>
    <n v="5"/>
    <x v="1113"/>
    <d v="2004-06-14T00:00:00"/>
    <s v="Shipped"/>
    <n v="2"/>
    <n v="6"/>
    <x v="1"/>
    <x v="3"/>
    <n v="99"/>
    <s v="S18_3320"/>
    <s v="The Sharp Gifts Warehouse"/>
    <n v="4085553659"/>
    <s v="3086 Ingle Ln."/>
    <m/>
    <s v="San Jose"/>
    <s v="CA"/>
    <n v="94217"/>
    <x v="0"/>
    <s v="NA"/>
    <s v="Frick"/>
    <s v="Sue"/>
    <s v="Small"/>
  </r>
  <r>
    <n v="10280"/>
    <n v="34"/>
    <n v="100"/>
    <n v="7"/>
    <x v="1114"/>
    <d v="2004-08-17T00:00:00"/>
    <s v="Shipped"/>
    <n v="3"/>
    <n v="8"/>
    <x v="1"/>
    <x v="3"/>
    <n v="99"/>
    <s v="S18_3320"/>
    <s v="Amica Models &amp; Co."/>
    <s v="011-4988555"/>
    <s v="Via Monte Bianco 34"/>
    <m/>
    <s v="Torino"/>
    <m/>
    <n v="10100"/>
    <x v="12"/>
    <s v="EMEA"/>
    <s v="Accorti"/>
    <s v="Paolo"/>
    <s v="Medium"/>
  </r>
  <r>
    <n v="10290"/>
    <n v="26"/>
    <n v="96.23"/>
    <n v="2"/>
    <x v="1115"/>
    <d v="2004-09-07T00:00:00"/>
    <s v="Shipped"/>
    <n v="3"/>
    <n v="9"/>
    <x v="1"/>
    <x v="3"/>
    <n v="99"/>
    <s v="S18_3320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04"/>
    <n v="38"/>
    <n v="100"/>
    <n v="11"/>
    <x v="1116"/>
    <d v="2004-10-11T00:00:00"/>
    <s v="Shipped"/>
    <n v="4"/>
    <n v="10"/>
    <x v="1"/>
    <x v="3"/>
    <n v="99"/>
    <s v="S18_3320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33"/>
    <n v="100"/>
    <n v="8"/>
    <x v="1117"/>
    <d v="2004-10-21T00:00:00"/>
    <s v="Shipped"/>
    <n v="4"/>
    <n v="10"/>
    <x v="1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3"/>
    <n v="33"/>
    <n v="91.27"/>
    <n v="2"/>
    <x v="1118"/>
    <d v="2004-11-05T00:00:00"/>
    <s v="Shipped"/>
    <n v="4"/>
    <n v="11"/>
    <x v="1"/>
    <x v="3"/>
    <n v="99"/>
    <s v="S18_3320"/>
    <s v="Blauer See Auto, Co."/>
    <s v="+49 69 66 90 2555"/>
    <s v="Lyonerstr. 34"/>
    <m/>
    <s v="Frankfurt"/>
    <m/>
    <n v="60528"/>
    <x v="16"/>
    <s v="EMEA"/>
    <s v="Keitel"/>
    <s v="Roland"/>
    <s v="Medium"/>
  </r>
  <r>
    <n v="10333"/>
    <n v="46"/>
    <n v="100"/>
    <n v="2"/>
    <x v="1119"/>
    <d v="2004-11-18T00:00:00"/>
    <s v="Shipped"/>
    <n v="4"/>
    <n v="11"/>
    <x v="1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s v="Large"/>
  </r>
  <r>
    <n v="10347"/>
    <n v="26"/>
    <n v="100"/>
    <n v="12"/>
    <x v="1120"/>
    <d v="2004-11-29T00:00:00"/>
    <s v="Shipped"/>
    <n v="4"/>
    <n v="11"/>
    <x v="1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7"/>
    <n v="25"/>
    <n v="100"/>
    <n v="3"/>
    <x v="1121"/>
    <d v="2004-12-10T00:00:00"/>
    <s v="Shipped"/>
    <n v="4"/>
    <n v="12"/>
    <x v="1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69"/>
    <n v="45"/>
    <n v="73.08"/>
    <n v="4"/>
    <x v="1122"/>
    <d v="2005-01-20T00:00:00"/>
    <s v="Shipped"/>
    <n v="1"/>
    <n v="1"/>
    <x v="2"/>
    <x v="3"/>
    <n v="99"/>
    <s v="S18_3320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2"/>
    <n v="50"/>
    <n v="100"/>
    <n v="7"/>
    <x v="1123"/>
    <d v="2005-02-17T00:00:00"/>
    <s v="Shipped"/>
    <n v="1"/>
    <n v="2"/>
    <x v="2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392"/>
    <n v="36"/>
    <n v="100"/>
    <n v="1"/>
    <x v="1124"/>
    <d v="2005-03-10T00:00:00"/>
    <s v="Shipped"/>
    <n v="1"/>
    <n v="3"/>
    <x v="2"/>
    <x v="3"/>
    <n v="99"/>
    <s v="S18_3320"/>
    <s v="Mini Auto Werke"/>
    <s v="7675-3555"/>
    <s v="Kirchgasse 6"/>
    <m/>
    <s v="Graz"/>
    <m/>
    <n v="8010"/>
    <x v="5"/>
    <s v="EMEA"/>
    <s v="Mendel"/>
    <s v="Roland"/>
    <s v="Medium"/>
  </r>
  <r>
    <n v="10423"/>
    <n v="21"/>
    <n v="89.29"/>
    <n v="5"/>
    <x v="1125"/>
    <d v="2005-05-30T00:00:00"/>
    <s v="In Process"/>
    <n v="2"/>
    <n v="5"/>
    <x v="2"/>
    <x v="3"/>
    <n v="99"/>
    <s v="S18_3320"/>
    <s v="Petit Auto"/>
    <s v="(02) 5554 67"/>
    <s v="Rue Joseph-Bens 532"/>
    <m/>
    <s v="Bruxelles"/>
    <m/>
    <s v="B-1180"/>
    <x v="14"/>
    <s v="EMEA"/>
    <s v="Dewey"/>
    <s v="Catherine"/>
    <s v="Small"/>
  </r>
  <r>
    <n v="10108"/>
    <n v="29"/>
    <n v="100"/>
    <n v="8"/>
    <x v="1126"/>
    <d v="2003-03-03T00:00:00"/>
    <s v="Shipped"/>
    <n v="1"/>
    <n v="3"/>
    <x v="0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1"/>
    <n v="100"/>
    <n v="12"/>
    <x v="1127"/>
    <d v="2003-05-08T00:00:00"/>
    <s v="Shipped"/>
    <n v="2"/>
    <n v="5"/>
    <x v="0"/>
    <x v="1"/>
    <n v="146"/>
    <s v="S18_348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2"/>
    <n v="100"/>
    <n v="9"/>
    <x v="1128"/>
    <d v="2003-07-02T00:00:00"/>
    <s v="Shipped"/>
    <n v="3"/>
    <n v="7"/>
    <x v="0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37"/>
    <n v="100"/>
    <n v="9"/>
    <x v="1129"/>
    <d v="2003-09-05T00:00:00"/>
    <s v="Shipped"/>
    <n v="3"/>
    <n v="9"/>
    <x v="0"/>
    <x v="1"/>
    <n v="146"/>
    <s v="S18_3482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159"/>
    <n v="25"/>
    <n v="100"/>
    <n v="4"/>
    <x v="1130"/>
    <d v="2003-10-10T00:00:00"/>
    <s v="Shipped"/>
    <n v="4"/>
    <n v="10"/>
    <x v="0"/>
    <x v="1"/>
    <n v="146"/>
    <s v="S18_3482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6"/>
    <n v="100"/>
    <n v="4"/>
    <x v="1131"/>
    <d v="2003-11-04T00:00:00"/>
    <s v="Shipped"/>
    <n v="4"/>
    <n v="11"/>
    <x v="0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1"/>
    <n v="22"/>
    <n v="100"/>
    <n v="16"/>
    <x v="1132"/>
    <d v="2003-11-12T00:00:00"/>
    <s v="Shipped"/>
    <n v="4"/>
    <n v="11"/>
    <x v="0"/>
    <x v="1"/>
    <n v="146"/>
    <s v="S18_3482"/>
    <s v="Herkku Gifts"/>
    <s v="+47 2267 3215"/>
    <s v="Drammen 121, PR 744 Sentrum"/>
    <m/>
    <s v="Bergen"/>
    <m/>
    <s v="N 5804"/>
    <x v="2"/>
    <s v="EMEA"/>
    <s v="Oeztan"/>
    <s v="Veysel"/>
    <s v="Medium"/>
  </r>
  <r>
    <n v="10191"/>
    <n v="23"/>
    <n v="100"/>
    <n v="5"/>
    <x v="1133"/>
    <d v="2003-11-20T00:00:00"/>
    <s v="Shipped"/>
    <n v="4"/>
    <n v="11"/>
    <x v="0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203"/>
    <n v="32"/>
    <n v="100"/>
    <n v="10"/>
    <x v="1134"/>
    <d v="2003-12-02T00:00:00"/>
    <s v="Shipped"/>
    <n v="4"/>
    <n v="12"/>
    <x v="0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8"/>
    <n v="100"/>
    <n v="4"/>
    <x v="1135"/>
    <d v="2004-01-15T00:00:00"/>
    <s v="Shipped"/>
    <n v="1"/>
    <n v="1"/>
    <x v="1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s v="Medium"/>
  </r>
  <r>
    <n v="10225"/>
    <n v="27"/>
    <n v="100"/>
    <n v="11"/>
    <x v="1136"/>
    <d v="2004-02-22T00:00:00"/>
    <s v="Shipped"/>
    <n v="1"/>
    <n v="2"/>
    <x v="1"/>
    <x v="1"/>
    <n v="146"/>
    <s v="S18_3482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9"/>
    <n v="100"/>
    <n v="5"/>
    <x v="1137"/>
    <d v="2004-04-09T00:00:00"/>
    <s v="Shipped"/>
    <n v="2"/>
    <n v="4"/>
    <x v="1"/>
    <x v="1"/>
    <n v="146"/>
    <s v="S18_3482"/>
    <s v="Danish Wholesale Imports"/>
    <s v="31 12 3555"/>
    <s v="Vinb'ltet 34"/>
    <m/>
    <s v="Kobenhavn"/>
    <m/>
    <n v="1734"/>
    <x v="13"/>
    <s v="EMEA"/>
    <s v="Petersen"/>
    <s v="Jytte"/>
    <s v="Medium"/>
  </r>
  <r>
    <n v="10252"/>
    <n v="41"/>
    <n v="100"/>
    <n v="1"/>
    <x v="1138"/>
    <d v="2004-05-26T00:00:00"/>
    <s v="Shipped"/>
    <n v="2"/>
    <n v="5"/>
    <x v="1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s v="Medium"/>
  </r>
  <r>
    <n v="10265"/>
    <n v="49"/>
    <n v="100"/>
    <n v="1"/>
    <x v="1139"/>
    <d v="2004-07-02T00:00:00"/>
    <s v="Shipped"/>
    <n v="3"/>
    <n v="7"/>
    <x v="1"/>
    <x v="1"/>
    <n v="146"/>
    <s v="S18_3482"/>
    <s v="Australian Collectables, Ltd"/>
    <s v="61-9-3844-6555"/>
    <s v="7 Allen Street"/>
    <m/>
    <s v="Glen Waverly"/>
    <s v="Victoria"/>
    <n v="3150"/>
    <x v="3"/>
    <s v="APAC"/>
    <s v="Connery"/>
    <s v="Sean"/>
    <s v="Large"/>
  </r>
  <r>
    <n v="10276"/>
    <n v="30"/>
    <n v="100"/>
    <n v="5"/>
    <x v="1140"/>
    <d v="2004-08-02T00:00:00"/>
    <s v="Shipped"/>
    <n v="3"/>
    <n v="8"/>
    <x v="1"/>
    <x v="1"/>
    <n v="146"/>
    <s v="S18_3482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0"/>
    <n v="100"/>
    <n v="14"/>
    <x v="1141"/>
    <d v="2004-08-30T00:00:00"/>
    <s v="Shipped"/>
    <n v="3"/>
    <n v="8"/>
    <x v="1"/>
    <x v="1"/>
    <n v="146"/>
    <s v="S18_3482"/>
    <s v="Vida Sport, Ltd"/>
    <s v="0897-034555"/>
    <s v="Grenzacherweg 237"/>
    <m/>
    <s v="Gensve"/>
    <m/>
    <n v="1203"/>
    <x v="17"/>
    <s v="EMEA"/>
    <s v="Holz"/>
    <s v="Michael"/>
    <s v="Medium"/>
  </r>
  <r>
    <n v="10300"/>
    <n v="23"/>
    <n v="100"/>
    <n v="7"/>
    <x v="1142"/>
    <d v="2003-10-04T00:00:00"/>
    <s v="Shipped"/>
    <n v="4"/>
    <n v="10"/>
    <x v="0"/>
    <x v="1"/>
    <n v="146"/>
    <s v="S18_3482"/>
    <s v="Blauer See Auto, Co."/>
    <s v="+49 69 66 90 2555"/>
    <s v="Lyonerstr. 34"/>
    <m/>
    <s v="Frankfurt"/>
    <m/>
    <n v="60528"/>
    <x v="16"/>
    <s v="EMEA"/>
    <s v="Keitel"/>
    <s v="Roland"/>
    <s v="Medium"/>
  </r>
  <r>
    <n v="10310"/>
    <n v="49"/>
    <n v="100"/>
    <n v="12"/>
    <x v="1143"/>
    <d v="2004-10-16T00:00:00"/>
    <s v="Shipped"/>
    <n v="4"/>
    <n v="10"/>
    <x v="1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0"/>
    <n v="25"/>
    <n v="100"/>
    <n v="5"/>
    <x v="1144"/>
    <d v="2004-11-03T00:00:00"/>
    <s v="Shipped"/>
    <n v="4"/>
    <n v="11"/>
    <x v="1"/>
    <x v="1"/>
    <n v="146"/>
    <s v="S18_3482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0"/>
    <n v="37"/>
    <n v="100"/>
    <n v="3"/>
    <x v="1129"/>
    <d v="2004-11-16T00:00:00"/>
    <s v="Shipped"/>
    <n v="4"/>
    <n v="11"/>
    <x v="1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55"/>
    <n v="100"/>
    <n v="7"/>
    <x v="1145"/>
    <d v="2004-11-24T00:00:00"/>
    <s v="Shipped"/>
    <n v="4"/>
    <n v="11"/>
    <x v="1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3"/>
    <n v="100"/>
    <n v="7"/>
    <x v="1146"/>
    <d v="2004-12-07T00:00:00"/>
    <s v="Shipped"/>
    <n v="4"/>
    <n v="12"/>
    <x v="1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24"/>
    <n v="100"/>
    <n v="11"/>
    <x v="1147"/>
    <d v="2005-01-06T00:00:00"/>
    <s v="Shipped"/>
    <n v="1"/>
    <n v="1"/>
    <x v="2"/>
    <x v="1"/>
    <n v="146"/>
    <s v="S18_348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8"/>
    <n v="43"/>
    <n v="96.49"/>
    <n v="10"/>
    <x v="1148"/>
    <d v="2005-02-10T00:00:00"/>
    <s v="Shipped"/>
    <n v="1"/>
    <n v="2"/>
    <x v="2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50"/>
    <n v="100"/>
    <n v="1"/>
    <x v="1149"/>
    <d v="2005-03-04T00:00:00"/>
    <s v="Shipped"/>
    <n v="1"/>
    <n v="3"/>
    <x v="2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109"/>
    <n v="47"/>
    <n v="100"/>
    <n v="2"/>
    <x v="1150"/>
    <d v="2003-03-10T00:00:00"/>
    <s v="Shipped"/>
    <n v="1"/>
    <n v="3"/>
    <x v="0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123"/>
    <n v="34"/>
    <n v="100"/>
    <n v="4"/>
    <x v="1151"/>
    <d v="2003-05-20T00:00:00"/>
    <s v="Shipped"/>
    <n v="2"/>
    <n v="5"/>
    <x v="0"/>
    <x v="1"/>
    <n v="141"/>
    <s v="S18_3685"/>
    <s v="Atelier graphique"/>
    <s v="40.32.2555"/>
    <s v="54, rue Royale"/>
    <m/>
    <s v="Nantes"/>
    <m/>
    <n v="44000"/>
    <x v="1"/>
    <s v="EMEA"/>
    <s v="Schmitt"/>
    <s v="Carine"/>
    <s v="Medium"/>
  </r>
  <r>
    <n v="10137"/>
    <n v="31"/>
    <n v="100"/>
    <n v="4"/>
    <x v="1152"/>
    <d v="2003-07-10T00:00:00"/>
    <s v="Shipped"/>
    <n v="3"/>
    <n v="7"/>
    <x v="0"/>
    <x v="1"/>
    <n v="141"/>
    <s v="S18_3685"/>
    <s v="Reims Collectables"/>
    <s v="26.47.1555"/>
    <s v="59 rue de l'Abbaye"/>
    <m/>
    <s v="Reims"/>
    <m/>
    <n v="51100"/>
    <x v="1"/>
    <s v="EMEA"/>
    <s v="Henriot"/>
    <s v="Paul"/>
    <s v="Medium"/>
  </r>
  <r>
    <n v="10148"/>
    <n v="28"/>
    <n v="100"/>
    <n v="11"/>
    <x v="1153"/>
    <d v="2003-09-11T00:00:00"/>
    <s v="Shipped"/>
    <n v="3"/>
    <n v="9"/>
    <x v="0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6"/>
    <n v="100"/>
    <n v="10"/>
    <x v="1154"/>
    <d v="2003-10-17T00:00:00"/>
    <s v="Shipped"/>
    <n v="4"/>
    <n v="10"/>
    <x v="0"/>
    <x v="1"/>
    <n v="141"/>
    <s v="S18_3685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48"/>
    <n v="100"/>
    <n v="8"/>
    <x v="1155"/>
    <d v="2003-11-05T00:00:00"/>
    <s v="Shipped"/>
    <n v="4"/>
    <n v="11"/>
    <x v="0"/>
    <x v="1"/>
    <n v="141"/>
    <s v="S18_3685"/>
    <s v="Gift Depot Inc."/>
    <n v="2035552570"/>
    <s v="25593 South Bay Ln."/>
    <m/>
    <s v="Bridgewater"/>
    <s v="CT"/>
    <n v="97562"/>
    <x v="0"/>
    <s v="NA"/>
    <s v="King"/>
    <s v="Julie"/>
    <s v="Medium"/>
  </r>
  <r>
    <n v="10181"/>
    <n v="39"/>
    <n v="100"/>
    <n v="4"/>
    <x v="1156"/>
    <d v="2003-11-12T00:00:00"/>
    <s v="Shipped"/>
    <n v="4"/>
    <n v="11"/>
    <x v="0"/>
    <x v="1"/>
    <n v="141"/>
    <s v="S18_3685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9"/>
    <x v="1157"/>
    <d v="2003-11-20T00:00:00"/>
    <s v="Shipped"/>
    <n v="4"/>
    <n v="11"/>
    <x v="0"/>
    <x v="1"/>
    <n v="141"/>
    <s v="S18_3685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35"/>
    <n v="100"/>
    <n v="15"/>
    <x v="1158"/>
    <d v="2003-12-02T00:00:00"/>
    <s v="Shipped"/>
    <n v="4"/>
    <n v="12"/>
    <x v="0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100"/>
    <n v="8"/>
    <x v="1159"/>
    <d v="2004-01-16T00:00:00"/>
    <s v="Shipped"/>
    <n v="1"/>
    <n v="1"/>
    <x v="1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46"/>
    <n v="100"/>
    <n v="6"/>
    <x v="1160"/>
    <d v="2004-02-26T00:00:00"/>
    <s v="Shipped"/>
    <n v="1"/>
    <n v="2"/>
    <x v="1"/>
    <x v="1"/>
    <n v="141"/>
    <s v="S18_3685"/>
    <s v="Collectable Mini Designs Co."/>
    <n v="7605558146"/>
    <s v="361 Furth Circle"/>
    <m/>
    <s v="San Diego"/>
    <s v="CA"/>
    <n v="91217"/>
    <x v="0"/>
    <s v="NA"/>
    <s v="Thompson"/>
    <s v="Valarie"/>
    <s v="Large"/>
  </r>
  <r>
    <n v="10240"/>
    <n v="37"/>
    <n v="100"/>
    <n v="1"/>
    <x v="1161"/>
    <d v="2004-04-13T00:00:00"/>
    <s v="Shipped"/>
    <n v="2"/>
    <n v="4"/>
    <x v="1"/>
    <x v="1"/>
    <n v="141"/>
    <s v="S18_3685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53"/>
    <n v="31"/>
    <n v="100"/>
    <n v="3"/>
    <x v="1162"/>
    <d v="2004-06-01T00:00:00"/>
    <s v="Cancelled"/>
    <n v="2"/>
    <n v="6"/>
    <x v="1"/>
    <x v="1"/>
    <n v="141"/>
    <s v="S18_368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33"/>
    <n v="100"/>
    <n v="4"/>
    <x v="1163"/>
    <d v="2004-07-06T00:00:00"/>
    <s v="Shipped"/>
    <n v="3"/>
    <n v="7"/>
    <x v="1"/>
    <x v="1"/>
    <n v="141"/>
    <s v="S18_368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278"/>
    <n v="31"/>
    <n v="100"/>
    <n v="4"/>
    <x v="1164"/>
    <d v="2004-08-06T00:00:00"/>
    <s v="Shipped"/>
    <n v="3"/>
    <n v="8"/>
    <x v="1"/>
    <x v="1"/>
    <n v="141"/>
    <s v="S18_3685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27"/>
    <n v="100"/>
    <n v="2"/>
    <x v="1165"/>
    <d v="2004-08-30T00:00:00"/>
    <s v="Shipped"/>
    <n v="3"/>
    <n v="8"/>
    <x v="1"/>
    <x v="1"/>
    <n v="141"/>
    <s v="S18_3685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39"/>
    <n v="100"/>
    <n v="6"/>
    <x v="1166"/>
    <d v="2003-10-05T00:00:00"/>
    <s v="Shipped"/>
    <n v="4"/>
    <n v="10"/>
    <x v="0"/>
    <x v="1"/>
    <n v="141"/>
    <s v="S18_3685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311"/>
    <n v="32"/>
    <n v="100"/>
    <n v="11"/>
    <x v="1167"/>
    <d v="2004-10-16T00:00:00"/>
    <s v="Shipped"/>
    <n v="4"/>
    <n v="10"/>
    <x v="1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8"/>
    <n v="100"/>
    <n v="8"/>
    <x v="1168"/>
    <d v="2004-11-04T00:00:00"/>
    <s v="Shipped"/>
    <n v="4"/>
    <n v="11"/>
    <x v="1"/>
    <x v="1"/>
    <n v="141"/>
    <s v="S18_3685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26"/>
    <n v="67.91"/>
    <n v="12"/>
    <x v="1169"/>
    <d v="2004-11-17T00:00:00"/>
    <s v="Shipped"/>
    <n v="4"/>
    <n v="11"/>
    <x v="1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3"/>
    <n v="44"/>
    <n v="84.88"/>
    <n v="2"/>
    <x v="1170"/>
    <d v="2004-11-24T00:00:00"/>
    <s v="Shipped"/>
    <n v="4"/>
    <n v="11"/>
    <x v="1"/>
    <x v="1"/>
    <n v="141"/>
    <s v="S18_3685"/>
    <s v="Reims Collectables"/>
    <s v="26.47.1555"/>
    <s v="59 rue de l'Abbaye"/>
    <m/>
    <s v="Reims"/>
    <m/>
    <n v="51100"/>
    <x v="1"/>
    <s v="EMEA"/>
    <s v="Henriot"/>
    <s v="Paul"/>
    <s v="Medium"/>
  </r>
  <r>
    <n v="10367"/>
    <n v="46"/>
    <n v="100"/>
    <n v="6"/>
    <x v="1171"/>
    <d v="2005-01-12T00:00:00"/>
    <s v="Resolved"/>
    <n v="1"/>
    <n v="1"/>
    <x v="2"/>
    <x v="1"/>
    <n v="141"/>
    <s v="S18_3685"/>
    <s v="Toys4GrownUps.com"/>
    <n v="6265557265"/>
    <s v="78934 Hillside Dr."/>
    <m/>
    <s v="Pasadena"/>
    <s v="CA"/>
    <n v="90003"/>
    <x v="0"/>
    <s v="NA"/>
    <s v="Young"/>
    <s v="Julie"/>
    <s v="Medium"/>
  </r>
  <r>
    <n v="10379"/>
    <n v="32"/>
    <n v="70.83"/>
    <n v="4"/>
    <x v="1172"/>
    <d v="2005-02-10T00:00:00"/>
    <s v="Shipped"/>
    <n v="1"/>
    <n v="2"/>
    <x v="2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s v="Small"/>
  </r>
  <r>
    <n v="10406"/>
    <n v="65"/>
    <n v="100"/>
    <n v="1"/>
    <x v="1173"/>
    <d v="2005-04-15T00:00:00"/>
    <s v="Disputed"/>
    <n v="2"/>
    <n v="4"/>
    <x v="2"/>
    <x v="1"/>
    <n v="141"/>
    <s v="S18_3685"/>
    <s v="Danish Wholesale Imports"/>
    <s v="31 12 3555"/>
    <s v="Vinb'ltet 34"/>
    <m/>
    <s v="Kobenhavn"/>
    <m/>
    <n v="1734"/>
    <x v="13"/>
    <s v="EMEA"/>
    <s v="Petersen"/>
    <s v="Jytte"/>
    <s v="Large"/>
  </r>
  <r>
    <n v="10419"/>
    <n v="43"/>
    <n v="100"/>
    <n v="3"/>
    <x v="1174"/>
    <d v="2005-05-17T00:00:00"/>
    <s v="Shipped"/>
    <n v="2"/>
    <n v="5"/>
    <x v="2"/>
    <x v="1"/>
    <n v="141"/>
    <s v="S18_3685"/>
    <s v="Salzburg Collectables"/>
    <s v="6562-9555"/>
    <s v="Geislweg 14"/>
    <m/>
    <s v="Salzburg"/>
    <m/>
    <n v="5020"/>
    <x v="5"/>
    <s v="EMEA"/>
    <s v="Pipps"/>
    <s v="Georg"/>
    <s v="Medium"/>
  </r>
  <r>
    <n v="10108"/>
    <n v="43"/>
    <n v="67.77"/>
    <n v="12"/>
    <x v="1175"/>
    <d v="2003-03-03T00:00:00"/>
    <s v="Shipped"/>
    <n v="1"/>
    <n v="3"/>
    <x v="0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5"/>
    <n v="49.74"/>
    <n v="16"/>
    <x v="1176"/>
    <d v="2003-05-08T00:00:00"/>
    <s v="Shipped"/>
    <n v="2"/>
    <n v="5"/>
    <x v="0"/>
    <x v="0"/>
    <n v="62"/>
    <s v="S18_378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45"/>
    <n v="50.36"/>
    <n v="13"/>
    <x v="1177"/>
    <d v="2003-07-02T00:00:00"/>
    <s v="Shipped"/>
    <n v="3"/>
    <n v="7"/>
    <x v="0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6"/>
    <n v="47"/>
    <n v="67.14"/>
    <n v="2"/>
    <x v="1178"/>
    <d v="2003-09-03T00:00:00"/>
    <s v="Shipped"/>
    <n v="3"/>
    <n v="9"/>
    <x v="0"/>
    <x v="0"/>
    <n v="62"/>
    <s v="S18_3782"/>
    <s v="Gift Ideas Corp."/>
    <n v="2035554407"/>
    <s v="2440 Pompton St."/>
    <m/>
    <s v="Glendale"/>
    <s v="CT"/>
    <n v="97561"/>
    <x v="0"/>
    <s v="NA"/>
    <s v="Lewis"/>
    <s v="Dan"/>
    <s v="Medium"/>
  </r>
  <r>
    <n v="10159"/>
    <n v="21"/>
    <n v="64.66"/>
    <n v="8"/>
    <x v="1179"/>
    <d v="2003-10-10T00:00:00"/>
    <s v="Shipped"/>
    <n v="4"/>
    <n v="10"/>
    <x v="0"/>
    <x v="0"/>
    <n v="62"/>
    <s v="S18_3782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8"/>
    <n v="68.39"/>
    <n v="8"/>
    <x v="1180"/>
    <d v="2003-11-04T00:00:00"/>
    <s v="Shipped"/>
    <n v="4"/>
    <n v="11"/>
    <x v="0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1"/>
    <n v="50.36"/>
    <n v="3"/>
    <x v="1181"/>
    <d v="2003-11-11T00:00:00"/>
    <s v="Shipped"/>
    <n v="4"/>
    <n v="11"/>
    <x v="0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s v="Small"/>
  </r>
  <r>
    <n v="10191"/>
    <n v="43"/>
    <n v="72.739999999999995"/>
    <n v="9"/>
    <x v="1182"/>
    <d v="2003-11-20T00:00:00"/>
    <s v="Shipped"/>
    <n v="4"/>
    <n v="11"/>
    <x v="0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s v="Medium"/>
  </r>
  <r>
    <n v="10211"/>
    <n v="46"/>
    <n v="54.09"/>
    <n v="8"/>
    <x v="1183"/>
    <d v="2004-01-15T00:00:00"/>
    <s v="Shipped"/>
    <n v="1"/>
    <n v="1"/>
    <x v="1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38"/>
    <n v="58.44"/>
    <n v="1"/>
    <x v="1184"/>
    <d v="2004-02-21T00:00:00"/>
    <s v="Shipped"/>
    <n v="1"/>
    <n v="2"/>
    <x v="1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52.22"/>
    <n v="1"/>
    <x v="1185"/>
    <d v="2004-04-05T00:00:00"/>
    <s v="Shipped"/>
    <n v="2"/>
    <n v="4"/>
    <x v="1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1"/>
    <n v="52.84"/>
    <n v="5"/>
    <x v="1186"/>
    <d v="2004-05-26T00:00:00"/>
    <s v="Shipped"/>
    <n v="2"/>
    <n v="5"/>
    <x v="1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48"/>
    <n v="54.71"/>
    <n v="3"/>
    <x v="1187"/>
    <d v="2004-06-30T00:00:00"/>
    <s v="Shipped"/>
    <n v="2"/>
    <n v="6"/>
    <x v="1"/>
    <x v="0"/>
    <n v="62"/>
    <s v="S18_3782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33"/>
    <n v="50.36"/>
    <n v="9"/>
    <x v="1188"/>
    <d v="2004-08-02T00:00:00"/>
    <s v="Shipped"/>
    <n v="3"/>
    <n v="8"/>
    <x v="1"/>
    <x v="0"/>
    <n v="62"/>
    <s v="S18_3782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6"/>
    <n v="38"/>
    <n v="57.2"/>
    <n v="1"/>
    <x v="1189"/>
    <d v="2004-08-28T00:00:00"/>
    <s v="Shipped"/>
    <n v="3"/>
    <n v="8"/>
    <x v="1"/>
    <x v="0"/>
    <n v="62"/>
    <s v="S18_3782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299"/>
    <n v="39"/>
    <n v="55.95"/>
    <n v="3"/>
    <x v="1190"/>
    <d v="2004-09-30T00:00:00"/>
    <s v="Shipped"/>
    <n v="3"/>
    <n v="9"/>
    <x v="1"/>
    <x v="0"/>
    <n v="62"/>
    <s v="S18_3782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42"/>
    <n v="67.14"/>
    <n v="16"/>
    <x v="1191"/>
    <d v="2004-10-16T00:00:00"/>
    <s v="Shipped"/>
    <n v="4"/>
    <n v="10"/>
    <x v="1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44"/>
    <n v="59.06"/>
    <n v="4"/>
    <x v="1192"/>
    <d v="2004-11-03T00:00:00"/>
    <s v="Shipped"/>
    <n v="4"/>
    <n v="11"/>
    <x v="1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29"/>
    <n v="69.63"/>
    <n v="2"/>
    <x v="1193"/>
    <d v="2004-11-16T00:00:00"/>
    <s v="Shipped"/>
    <n v="4"/>
    <n v="11"/>
    <x v="1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342"/>
    <n v="26"/>
    <n v="55.95"/>
    <n v="8"/>
    <x v="1194"/>
    <d v="2004-11-24T00:00:00"/>
    <s v="Shipped"/>
    <n v="4"/>
    <n v="11"/>
    <x v="1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1"/>
    <n v="53.47"/>
    <n v="1"/>
    <x v="1195"/>
    <d v="2004-12-07T00:00:00"/>
    <s v="Shipped"/>
    <n v="4"/>
    <n v="12"/>
    <x v="1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32"/>
    <n v="89.12"/>
    <n v="12"/>
    <x v="1196"/>
    <d v="2005-01-06T00:00:00"/>
    <s v="Shipped"/>
    <n v="1"/>
    <n v="1"/>
    <x v="2"/>
    <x v="0"/>
    <n v="62"/>
    <s v="S18_3782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28"/>
    <n v="100"/>
    <n v="9"/>
    <x v="1197"/>
    <d v="2005-02-10T00:00:00"/>
    <s v="Shipped"/>
    <n v="1"/>
    <n v="2"/>
    <x v="2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6"/>
    <n v="100"/>
    <n v="2"/>
    <x v="1198"/>
    <d v="2005-03-04T00:00:00"/>
    <s v="Shipped"/>
    <n v="1"/>
    <n v="3"/>
    <x v="2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3"/>
    <n v="36"/>
    <n v="52.22"/>
    <n v="1"/>
    <x v="1199"/>
    <d v="2005-04-08T00:00:00"/>
    <s v="Shipped"/>
    <n v="2"/>
    <n v="4"/>
    <x v="2"/>
    <x v="0"/>
    <n v="62"/>
    <s v="S18_3782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6"/>
    <n v="41"/>
    <n v="100"/>
    <n v="17"/>
    <x v="1200"/>
    <d v="2003-02-17T00:00:00"/>
    <s v="Shipped"/>
    <n v="1"/>
    <n v="2"/>
    <x v="0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7"/>
    <n v="99.52"/>
    <n v="8"/>
    <x v="1201"/>
    <d v="2003-04-28T00:00:00"/>
    <s v="Shipped"/>
    <n v="2"/>
    <n v="4"/>
    <x v="0"/>
    <x v="3"/>
    <n v="105"/>
    <s v="S18_3856"/>
    <s v="Salzburg Collectables"/>
    <s v="6562-9555"/>
    <s v="Geislweg 14"/>
    <m/>
    <s v="Salzburg"/>
    <m/>
    <n v="5020"/>
    <x v="5"/>
    <s v="EMEA"/>
    <s v="Pipps"/>
    <s v="Georg"/>
    <s v="Small"/>
  </r>
  <r>
    <n v="10130"/>
    <n v="33"/>
    <n v="100"/>
    <n v="1"/>
    <x v="1202"/>
    <d v="2003-06-16T00:00:00"/>
    <s v="Shipped"/>
    <n v="2"/>
    <n v="6"/>
    <x v="0"/>
    <x v="3"/>
    <n v="105"/>
    <s v="S18_3856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143"/>
    <n v="34"/>
    <n v="100"/>
    <n v="12"/>
    <x v="1203"/>
    <d v="2003-08-10T00:00:00"/>
    <s v="Shipped"/>
    <n v="3"/>
    <n v="8"/>
    <x v="0"/>
    <x v="3"/>
    <n v="105"/>
    <s v="S18_3856"/>
    <s v="Mini Creations Ltd."/>
    <n v="5085559555"/>
    <s v="4575 Hillside Dr."/>
    <m/>
    <s v="New Bedford"/>
    <s v="MA"/>
    <n v="50553"/>
    <x v="0"/>
    <s v="NA"/>
    <s v="Tam"/>
    <s v="Wing C"/>
    <s v="Medium"/>
  </r>
  <r>
    <n v="10155"/>
    <n v="29"/>
    <n v="100"/>
    <n v="10"/>
    <x v="1204"/>
    <d v="2003-10-06T00:00:00"/>
    <s v="Shipped"/>
    <n v="4"/>
    <n v="10"/>
    <x v="0"/>
    <x v="3"/>
    <n v="105"/>
    <s v="S18_3856"/>
    <s v="Toys of Finland, Co."/>
    <s v="90-224 8555"/>
    <s v="Keskuskatu 45"/>
    <m/>
    <s v="Helsinki"/>
    <m/>
    <n v="21240"/>
    <x v="4"/>
    <s v="EMEA"/>
    <s v="Karttunen"/>
    <s v="Matti"/>
    <s v="Medium"/>
  </r>
  <r>
    <n v="10167"/>
    <n v="34"/>
    <n v="100"/>
    <n v="6"/>
    <x v="1205"/>
    <d v="2003-10-23T00:00:00"/>
    <s v="Cancelled"/>
    <n v="4"/>
    <n v="10"/>
    <x v="0"/>
    <x v="3"/>
    <n v="105"/>
    <s v="S18_3856"/>
    <s v="Scandinavian Gift Ideas"/>
    <s v="0695-34 6555"/>
    <s v="?kergatan 24"/>
    <m/>
    <s v="Boras"/>
    <m/>
    <s v="S-844 67"/>
    <x v="8"/>
    <s v="EMEA"/>
    <s v="Larsson"/>
    <s v="Maria"/>
    <s v="Medium"/>
  </r>
  <r>
    <n v="10178"/>
    <n v="48"/>
    <n v="100"/>
    <n v="9"/>
    <x v="1206"/>
    <d v="2003-11-08T00:00:00"/>
    <s v="Shipped"/>
    <n v="4"/>
    <n v="11"/>
    <x v="0"/>
    <x v="3"/>
    <n v="105"/>
    <s v="S18_3856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46"/>
    <n v="100"/>
    <n v="6"/>
    <x v="1207"/>
    <d v="2003-11-14T00:00:00"/>
    <s v="Shipped"/>
    <n v="4"/>
    <n v="11"/>
    <x v="0"/>
    <x v="3"/>
    <n v="105"/>
    <s v="S18_3856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22"/>
    <n v="100"/>
    <n v="3"/>
    <x v="1208"/>
    <d v="2003-11-26T00:00:00"/>
    <s v="Shipped"/>
    <n v="4"/>
    <n v="11"/>
    <x v="0"/>
    <x v="3"/>
    <n v="105"/>
    <s v="S18_3856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20"/>
    <n v="100"/>
    <n v="5"/>
    <x v="1209"/>
    <d v="2004-01-09T00:00:00"/>
    <s v="Shipped"/>
    <n v="1"/>
    <n v="1"/>
    <x v="1"/>
    <x v="3"/>
    <n v="105"/>
    <s v="S18_3856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5"/>
    <n v="85.75"/>
    <n v="9"/>
    <x v="1210"/>
    <d v="2004-02-19T00:00:00"/>
    <s v="Shipped"/>
    <n v="1"/>
    <n v="2"/>
    <x v="1"/>
    <x v="3"/>
    <n v="105"/>
    <s v="S18_385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9"/>
    <n v="46"/>
    <n v="100"/>
    <n v="5"/>
    <x v="1211"/>
    <d v="2004-05-08T00:00:00"/>
    <s v="Shipped"/>
    <n v="2"/>
    <n v="5"/>
    <x v="1"/>
    <x v="3"/>
    <n v="105"/>
    <s v="S18_3856"/>
    <s v="Cambridge Collectables Co."/>
    <n v="6175555555"/>
    <s v="4658 Baden Av."/>
    <m/>
    <s v="Cambridge"/>
    <s v="MA"/>
    <n v="51247"/>
    <x v="0"/>
    <s v="NA"/>
    <s v="Tseng"/>
    <s v="Kyung"/>
    <s v="Medium"/>
  </r>
  <r>
    <n v="10262"/>
    <n v="34"/>
    <n v="100"/>
    <n v="14"/>
    <x v="1212"/>
    <d v="2004-06-24T00:00:00"/>
    <s v="Cancelled"/>
    <n v="2"/>
    <n v="6"/>
    <x v="1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s v="Medium"/>
  </r>
  <r>
    <n v="10273"/>
    <n v="50"/>
    <n v="85.75"/>
    <n v="1"/>
    <x v="1213"/>
    <d v="2004-07-21T00:00:00"/>
    <s v="Shipped"/>
    <n v="3"/>
    <n v="7"/>
    <x v="1"/>
    <x v="3"/>
    <n v="105"/>
    <s v="S18_3856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46"/>
    <n v="100"/>
    <n v="3"/>
    <x v="1214"/>
    <d v="2004-08-20T00:00:00"/>
    <s v="Shipped"/>
    <n v="3"/>
    <n v="8"/>
    <x v="1"/>
    <x v="3"/>
    <n v="105"/>
    <s v="S18_3856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6"/>
    <n v="22"/>
    <n v="84.7"/>
    <n v="12"/>
    <x v="1215"/>
    <d v="2004-09-15T00:00:00"/>
    <s v="Shipped"/>
    <n v="3"/>
    <n v="9"/>
    <x v="1"/>
    <x v="3"/>
    <n v="105"/>
    <s v="S18_385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48"/>
    <n v="86.81"/>
    <n v="6"/>
    <x v="1216"/>
    <d v="2004-10-14T00:00:00"/>
    <s v="Shipped"/>
    <n v="4"/>
    <n v="10"/>
    <x v="1"/>
    <x v="3"/>
    <n v="105"/>
    <s v="S18_3856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316"/>
    <n v="47"/>
    <n v="86.81"/>
    <n v="14"/>
    <x v="1217"/>
    <d v="2004-11-01T00:00:00"/>
    <s v="Shipped"/>
    <n v="4"/>
    <n v="11"/>
    <x v="1"/>
    <x v="3"/>
    <n v="105"/>
    <s v="S18_3856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4"/>
    <n v="100"/>
    <n v="6"/>
    <x v="1218"/>
    <d v="2004-11-12T00:00:00"/>
    <s v="Shipped"/>
    <n v="4"/>
    <n v="11"/>
    <x v="1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s v="Medium"/>
  </r>
  <r>
    <n v="10338"/>
    <n v="45"/>
    <n v="100"/>
    <n v="2"/>
    <x v="1219"/>
    <d v="2004-11-22T00:00:00"/>
    <s v="Shipped"/>
    <n v="4"/>
    <n v="11"/>
    <x v="1"/>
    <x v="3"/>
    <n v="105"/>
    <s v="S18_3856"/>
    <s v="Royale Belge"/>
    <s v="(071) 23 67 2555"/>
    <s v="Boulevard Tirou, 255"/>
    <m/>
    <s v="Charleroi"/>
    <m/>
    <s v="B-6000"/>
    <x v="14"/>
    <s v="EMEA"/>
    <s v="Cartrain"/>
    <s v="Pascale"/>
    <s v="Medium"/>
  </r>
  <r>
    <n v="10351"/>
    <n v="20"/>
    <n v="100"/>
    <n v="2"/>
    <x v="1220"/>
    <d v="2004-12-03T00:00:00"/>
    <s v="Shipped"/>
    <n v="4"/>
    <n v="12"/>
    <x v="1"/>
    <x v="3"/>
    <n v="105"/>
    <s v="S18_3856"/>
    <s v="Stylish Desk Decors, Co."/>
    <s v="(171) 555-0297"/>
    <s v="35 King George"/>
    <m/>
    <s v="London"/>
    <m/>
    <s v="WX3 6FW"/>
    <x v="6"/>
    <s v="EMEA"/>
    <s v="Brown"/>
    <s v="Ann"/>
    <s v="Medium"/>
  </r>
  <r>
    <n v="10373"/>
    <n v="50"/>
    <n v="60.49"/>
    <n v="6"/>
    <x v="1221"/>
    <d v="2005-01-31T00:00:00"/>
    <s v="Shipped"/>
    <n v="1"/>
    <n v="1"/>
    <x v="2"/>
    <x v="3"/>
    <n v="105"/>
    <s v="S18_3856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22"/>
    <n v="57.55"/>
    <n v="6"/>
    <x v="1222"/>
    <d v="2005-03-01T00:00:00"/>
    <s v="Resolved"/>
    <n v="1"/>
    <n v="3"/>
    <x v="2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45"/>
    <n v="100"/>
    <n v="17"/>
    <x v="1223"/>
    <d v="2005-03-30T00:00:00"/>
    <s v="Shipped"/>
    <n v="1"/>
    <n v="3"/>
    <x v="2"/>
    <x v="3"/>
    <n v="105"/>
    <s v="S18_3856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58"/>
    <n v="100"/>
    <n v="6"/>
    <x v="1224"/>
    <d v="2005-04-01T00:00:00"/>
    <s v="Shipped"/>
    <n v="2"/>
    <n v="4"/>
    <x v="2"/>
    <x v="3"/>
    <n v="105"/>
    <s v="S18_3856"/>
    <s v="The Sharp Gifts Warehouse"/>
    <n v="4085553659"/>
    <s v="3086 Ingle Ln."/>
    <m/>
    <s v="San Jose"/>
    <s v="CA"/>
    <n v="94217"/>
    <x v="0"/>
    <s v="NA"/>
    <s v="Frick"/>
    <s v="Sue"/>
    <s v="Large"/>
  </r>
  <r>
    <n v="10415"/>
    <n v="51"/>
    <n v="100"/>
    <n v="5"/>
    <x v="1225"/>
    <d v="2005-05-09T00:00:00"/>
    <s v="Disputed"/>
    <n v="2"/>
    <n v="5"/>
    <x v="2"/>
    <x v="3"/>
    <n v="105"/>
    <s v="S18_3856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104"/>
    <n v="38"/>
    <n v="100"/>
    <n v="3"/>
    <x v="1226"/>
    <d v="2003-01-31T00:00:00"/>
    <s v="Shipped"/>
    <n v="1"/>
    <n v="1"/>
    <x v="0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Medium"/>
  </r>
  <r>
    <n v="10117"/>
    <n v="22"/>
    <n v="100"/>
    <n v="12"/>
    <x v="1227"/>
    <d v="2003-04-16T00:00:00"/>
    <s v="Shipped"/>
    <n v="2"/>
    <n v="4"/>
    <x v="0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7"/>
    <n v="25"/>
    <n v="100"/>
    <n v="5"/>
    <x v="1228"/>
    <d v="2003-06-03T00:00:00"/>
    <s v="Shipped"/>
    <n v="2"/>
    <n v="6"/>
    <x v="0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24"/>
    <n v="100"/>
    <n v="15"/>
    <x v="1229"/>
    <d v="2003-08-08T00:00:00"/>
    <s v="Shipped"/>
    <n v="3"/>
    <n v="8"/>
    <x v="0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2"/>
    <n v="35"/>
    <n v="100"/>
    <n v="1"/>
    <x v="1230"/>
    <d v="2003-09-25T00:00:00"/>
    <s v="Shipped"/>
    <n v="3"/>
    <n v="9"/>
    <x v="0"/>
    <x v="1"/>
    <n v="143"/>
    <s v="S18_4027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165"/>
    <n v="28"/>
    <n v="100"/>
    <n v="6"/>
    <x v="1231"/>
    <d v="2003-10-22T00:00:00"/>
    <s v="Shipped"/>
    <n v="4"/>
    <n v="10"/>
    <x v="0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36"/>
    <n v="100"/>
    <n v="5"/>
    <x v="1232"/>
    <d v="2003-11-06T00:00:00"/>
    <s v="Shipped"/>
    <n v="4"/>
    <n v="11"/>
    <x v="0"/>
    <x v="1"/>
    <n v="143"/>
    <s v="S18_4027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5"/>
    <n v="39"/>
    <n v="100"/>
    <n v="16"/>
    <x v="1233"/>
    <d v="2003-11-14T00:00:00"/>
    <s v="Shipped"/>
    <n v="4"/>
    <n v="11"/>
    <x v="0"/>
    <x v="1"/>
    <n v="143"/>
    <s v="S18_4027"/>
    <s v="Mini Creations Ltd."/>
    <n v="5085559555"/>
    <s v="4575 Hillside Dr."/>
    <m/>
    <s v="New Bedford"/>
    <s v="MA"/>
    <n v="50553"/>
    <x v="0"/>
    <s v="NA"/>
    <s v="Tam"/>
    <s v="Wing C"/>
    <s v="Medium"/>
  </r>
  <r>
    <n v="10196"/>
    <n v="27"/>
    <n v="100"/>
    <n v="8"/>
    <x v="1234"/>
    <d v="2003-11-26T00:00:00"/>
    <s v="Shipped"/>
    <n v="4"/>
    <n v="11"/>
    <x v="0"/>
    <x v="1"/>
    <n v="143"/>
    <s v="S18_4027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7"/>
    <n v="40"/>
    <n v="100"/>
    <n v="1"/>
    <x v="1235"/>
    <d v="2003-12-09T00:00:00"/>
    <s v="Shipped"/>
    <n v="4"/>
    <n v="12"/>
    <x v="0"/>
    <x v="1"/>
    <n v="143"/>
    <s v="S18_4027"/>
    <s v="Diecast Collectables"/>
    <n v="6175552555"/>
    <s v="6251 Ingle Ln."/>
    <m/>
    <s v="Boston"/>
    <s v="MA"/>
    <n v="51003"/>
    <x v="0"/>
    <s v="NA"/>
    <s v="Franco"/>
    <s v="Valarie"/>
    <s v="Medium"/>
  </r>
  <r>
    <n v="10220"/>
    <n v="50"/>
    <n v="100"/>
    <n v="5"/>
    <x v="1236"/>
    <d v="2004-02-12T00:00:00"/>
    <s v="Shipped"/>
    <n v="1"/>
    <n v="2"/>
    <x v="1"/>
    <x v="1"/>
    <n v="143"/>
    <s v="S18_4027"/>
    <s v="Clover Collections, Co."/>
    <s v="+353 1862 1555"/>
    <s v="25 Maiden Lane"/>
    <s v="Floor No. 4"/>
    <s v="Dublin"/>
    <m/>
    <n v="2"/>
    <x v="18"/>
    <s v="EMEA"/>
    <s v="Cassidy"/>
    <s v="Dean"/>
    <s v="Large"/>
  </r>
  <r>
    <n v="10230"/>
    <n v="42"/>
    <n v="100"/>
    <n v="3"/>
    <x v="1237"/>
    <d v="2004-03-15T00:00:00"/>
    <s v="Shipped"/>
    <n v="1"/>
    <n v="3"/>
    <x v="1"/>
    <x v="1"/>
    <n v="143"/>
    <s v="S18_4027"/>
    <s v="Blauer See Auto, Co."/>
    <s v="+49 69 66 90 2555"/>
    <s v="Lyonerstr. 34"/>
    <m/>
    <s v="Frankfurt"/>
    <m/>
    <n v="60528"/>
    <x v="16"/>
    <s v="EMEA"/>
    <s v="Keitel"/>
    <s v="Roland"/>
    <s v="Large"/>
  </r>
  <r>
    <n v="10247"/>
    <n v="48"/>
    <n v="100"/>
    <n v="5"/>
    <x v="1238"/>
    <d v="2004-05-05T00:00:00"/>
    <s v="Shipped"/>
    <n v="2"/>
    <n v="5"/>
    <x v="1"/>
    <x v="1"/>
    <n v="143"/>
    <s v="S18_4027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25"/>
    <n v="100"/>
    <n v="5"/>
    <x v="635"/>
    <d v="2004-07-20T00:00:00"/>
    <s v="Shipped"/>
    <n v="3"/>
    <n v="7"/>
    <x v="1"/>
    <x v="1"/>
    <n v="143"/>
    <s v="S18_4027"/>
    <s v="Diecast Classics Inc."/>
    <n v="2155551555"/>
    <s v="7586 Pompton St."/>
    <m/>
    <s v="Allentown"/>
    <s v="PA"/>
    <n v="70267"/>
    <x v="0"/>
    <s v="NA"/>
    <s v="Yu"/>
    <s v="Kyung"/>
    <s v="Medium"/>
  </r>
  <r>
    <n v="10282"/>
    <n v="31"/>
    <n v="100"/>
    <n v="8"/>
    <x v="1239"/>
    <d v="2004-08-20T00:00:00"/>
    <s v="Shipped"/>
    <n v="3"/>
    <n v="8"/>
    <x v="1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44"/>
    <n v="100"/>
    <n v="2"/>
    <x v="1240"/>
    <d v="2004-09-08T00:00:00"/>
    <s v="Shipped"/>
    <n v="3"/>
    <n v="9"/>
    <x v="1"/>
    <x v="1"/>
    <n v="143"/>
    <s v="S18_4027"/>
    <s v="Land of Toys Inc."/>
    <n v="2125557818"/>
    <s v="897 Long Airport Avenue"/>
    <m/>
    <s v="NYC"/>
    <s v="NY"/>
    <n v="10022"/>
    <x v="0"/>
    <s v="NA"/>
    <s v="Yu"/>
    <s v="Kwai"/>
    <s v="Large"/>
  </r>
  <r>
    <n v="10306"/>
    <n v="23"/>
    <n v="100"/>
    <n v="16"/>
    <x v="1241"/>
    <d v="2004-10-14T00:00:00"/>
    <s v="Shipped"/>
    <n v="4"/>
    <n v="10"/>
    <x v="1"/>
    <x v="1"/>
    <n v="143"/>
    <s v="S18_4027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9"/>
    <n v="100"/>
    <n v="8"/>
    <x v="1242"/>
    <d v="2004-10-22T00:00:00"/>
    <s v="Shipped"/>
    <n v="4"/>
    <n v="10"/>
    <x v="1"/>
    <x v="1"/>
    <n v="143"/>
    <s v="S18_4027"/>
    <s v="Heintze Collectables"/>
    <s v="86 21 3555"/>
    <s v="Smagsloget 45"/>
    <m/>
    <s v="Aaarhus"/>
    <m/>
    <n v="8200"/>
    <x v="13"/>
    <s v="EMEA"/>
    <s v="Ibsen"/>
    <s v="Palle"/>
    <s v="Medium"/>
  </r>
  <r>
    <n v="10324"/>
    <n v="49"/>
    <n v="100"/>
    <n v="13"/>
    <x v="1243"/>
    <d v="2004-11-05T00:00:00"/>
    <s v="Shipped"/>
    <n v="4"/>
    <n v="11"/>
    <x v="1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7"/>
    <n v="36"/>
    <n v="100"/>
    <n v="3"/>
    <x v="1244"/>
    <d v="2004-11-21T00:00:00"/>
    <s v="Shipped"/>
    <n v="4"/>
    <n v="11"/>
    <x v="1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49"/>
    <n v="34"/>
    <n v="100"/>
    <n v="5"/>
    <x v="1245"/>
    <d v="2004-12-01T00:00:00"/>
    <s v="Shipped"/>
    <n v="4"/>
    <n v="12"/>
    <x v="1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8"/>
    <n v="25"/>
    <n v="100"/>
    <n v="13"/>
    <x v="1246"/>
    <d v="2004-12-10T00:00:00"/>
    <s v="Shipped"/>
    <n v="4"/>
    <n v="12"/>
    <x v="1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8"/>
    <n v="100"/>
    <n v="6"/>
    <x v="1247"/>
    <d v="2005-01-26T00:00:00"/>
    <s v="Shipped"/>
    <n v="1"/>
    <n v="1"/>
    <x v="2"/>
    <x v="1"/>
    <n v="143"/>
    <s v="S18_4027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383"/>
    <n v="38"/>
    <n v="100"/>
    <n v="1"/>
    <x v="1248"/>
    <d v="2005-02-22T00:00:00"/>
    <s v="Shipped"/>
    <n v="1"/>
    <n v="2"/>
    <x v="2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37"/>
    <n v="100"/>
    <n v="1"/>
    <x v="1249"/>
    <d v="2005-03-15T00:00:00"/>
    <s v="Shipped"/>
    <n v="1"/>
    <n v="3"/>
    <x v="2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s v="Medium"/>
  </r>
  <r>
    <n v="10413"/>
    <n v="49"/>
    <n v="100"/>
    <n v="5"/>
    <x v="1250"/>
    <d v="2005-05-05T00:00:00"/>
    <s v="Shipped"/>
    <n v="2"/>
    <n v="5"/>
    <x v="2"/>
    <x v="1"/>
    <n v="143"/>
    <s v="S18_4027"/>
    <s v="Gift Depot Inc."/>
    <n v="2035552570"/>
    <s v="25593 South Bay Ln."/>
    <m/>
    <s v="Bridgewater"/>
    <s v="CT"/>
    <n v="97562"/>
    <x v="0"/>
    <s v="NA"/>
    <s v="King"/>
    <s v="Julie"/>
    <s v="Medium"/>
  </r>
  <r>
    <n v="10100"/>
    <n v="22"/>
    <n v="86.51"/>
    <n v="4"/>
    <x v="1251"/>
    <d v="2003-01-06T00:00:00"/>
    <s v="Shipped"/>
    <n v="1"/>
    <n v="1"/>
    <x v="0"/>
    <x v="3"/>
    <n v="92"/>
    <s v="S18_440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110"/>
    <n v="28"/>
    <n v="89.27"/>
    <n v="8"/>
    <x v="1252"/>
    <d v="2003-03-18T00:00:00"/>
    <s v="Shipped"/>
    <n v="1"/>
    <n v="3"/>
    <x v="0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36"/>
    <n v="85.59"/>
    <n v="7"/>
    <x v="1253"/>
    <d v="2003-05-21T00:00:00"/>
    <s v="Shipped"/>
    <n v="2"/>
    <n v="5"/>
    <x v="0"/>
    <x v="3"/>
    <n v="92"/>
    <s v="S18_4409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34"/>
    <n v="100"/>
    <n v="1"/>
    <x v="1254"/>
    <d v="2003-09-11T00:00:00"/>
    <s v="Shipped"/>
    <n v="3"/>
    <n v="9"/>
    <x v="0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2"/>
    <n v="39"/>
    <n v="100"/>
    <n v="10"/>
    <x v="1255"/>
    <d v="2003-10-18T00:00:00"/>
    <s v="Shipped"/>
    <n v="4"/>
    <n v="10"/>
    <x v="0"/>
    <x v="3"/>
    <n v="92"/>
    <s v="S18_4409"/>
    <s v="Corporate Gift Ideas Co."/>
    <n v="6505551386"/>
    <s v="7734 Strong St."/>
    <m/>
    <s v="San Francisco"/>
    <s v="CA"/>
    <m/>
    <x v="0"/>
    <s v="NA"/>
    <s v="Brown"/>
    <s v="Julie"/>
    <s v="Medium"/>
  </r>
  <r>
    <n v="10173"/>
    <n v="21"/>
    <n v="75.459999999999994"/>
    <n v="14"/>
    <x v="1256"/>
    <d v="2003-11-05T00:00:00"/>
    <s v="Shipped"/>
    <n v="4"/>
    <n v="11"/>
    <x v="0"/>
    <x v="3"/>
    <n v="92"/>
    <s v="S18_4409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6"/>
    <n v="100"/>
    <n v="11"/>
    <x v="1257"/>
    <d v="2003-11-12T00:00:00"/>
    <s v="Shipped"/>
    <n v="4"/>
    <n v="11"/>
    <x v="0"/>
    <x v="3"/>
    <n v="92"/>
    <s v="S18_4409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4"/>
    <n v="97.55"/>
    <n v="15"/>
    <x v="1258"/>
    <d v="2003-11-21T00:00:00"/>
    <s v="Shipped"/>
    <n v="4"/>
    <n v="11"/>
    <x v="0"/>
    <x v="3"/>
    <n v="92"/>
    <s v="S18_440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29"/>
    <n v="85.59"/>
    <n v="5"/>
    <x v="1259"/>
    <d v="2003-12-02T00:00:00"/>
    <s v="Shipped"/>
    <n v="4"/>
    <n v="12"/>
    <x v="0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3"/>
    <n v="38"/>
    <n v="94.79"/>
    <n v="1"/>
    <x v="1260"/>
    <d v="2004-01-22T00:00:00"/>
    <s v="Shipped"/>
    <n v="1"/>
    <n v="1"/>
    <x v="1"/>
    <x v="3"/>
    <n v="92"/>
    <s v="S18_4409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227"/>
    <n v="34"/>
    <n v="100"/>
    <n v="11"/>
    <x v="1261"/>
    <d v="2004-03-02T00:00:00"/>
    <s v="Shipped"/>
    <n v="1"/>
    <n v="3"/>
    <x v="1"/>
    <x v="3"/>
    <n v="92"/>
    <s v="S18_4409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2"/>
    <n v="90.19"/>
    <n v="3"/>
    <x v="1262"/>
    <d v="2004-04-13T00:00:00"/>
    <s v="Shipped"/>
    <n v="2"/>
    <n v="4"/>
    <x v="1"/>
    <x v="3"/>
    <n v="92"/>
    <s v="S18_4409"/>
    <s v="Mini Caravy"/>
    <s v="88.60.1555"/>
    <s v="24, place Kluber"/>
    <m/>
    <s v="Strasbourg"/>
    <m/>
    <n v="67000"/>
    <x v="1"/>
    <s v="EMEA"/>
    <s v="Citeaux"/>
    <s v="Frederique"/>
    <s v="Medium"/>
  </r>
  <r>
    <n v="10280"/>
    <n v="35"/>
    <n v="100"/>
    <n v="17"/>
    <x v="1263"/>
    <d v="2004-08-17T00:00:00"/>
    <s v="Shipped"/>
    <n v="3"/>
    <n v="8"/>
    <x v="1"/>
    <x v="3"/>
    <n v="92"/>
    <s v="S18_4409"/>
    <s v="Amica Models &amp; Co."/>
    <s v="011-4988555"/>
    <s v="Via Monte Bianco 34"/>
    <m/>
    <s v="Torino"/>
    <m/>
    <n v="10100"/>
    <x v="12"/>
    <s v="EMEA"/>
    <s v="Accorti"/>
    <s v="Paolo"/>
    <s v="Medium"/>
  </r>
  <r>
    <n v="10288"/>
    <n v="35"/>
    <n v="80.989999999999995"/>
    <n v="6"/>
    <x v="1264"/>
    <d v="2004-09-01T00:00:00"/>
    <s v="Shipped"/>
    <n v="3"/>
    <n v="9"/>
    <x v="1"/>
    <x v="3"/>
    <n v="92"/>
    <s v="S18_440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38"/>
    <n v="89.27"/>
    <n v="2"/>
    <x v="1265"/>
    <d v="2003-10-06T00:00:00"/>
    <s v="Shipped"/>
    <n v="4"/>
    <n v="10"/>
    <x v="0"/>
    <x v="3"/>
    <n v="92"/>
    <s v="S18_4409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41"/>
    <n v="81.91"/>
    <n v="1"/>
    <x v="1266"/>
    <d v="2004-10-16T00:00:00"/>
    <s v="Shipped"/>
    <n v="4"/>
    <n v="10"/>
    <x v="1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s v="Medium"/>
  </r>
  <r>
    <n v="10332"/>
    <n v="50"/>
    <n v="100"/>
    <n v="2"/>
    <x v="583"/>
    <d v="2004-11-17T00:00:00"/>
    <s v="Shipped"/>
    <n v="4"/>
    <n v="11"/>
    <x v="1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s v="Large"/>
  </r>
  <r>
    <n v="10344"/>
    <n v="21"/>
    <n v="100"/>
    <n v="4"/>
    <x v="1267"/>
    <d v="2004-11-25T00:00:00"/>
    <s v="Shipped"/>
    <n v="4"/>
    <n v="11"/>
    <x v="1"/>
    <x v="3"/>
    <n v="92"/>
    <s v="S18_4409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3"/>
    <n v="62.72"/>
    <n v="8"/>
    <x v="1268"/>
    <d v="2005-01-12T00:00:00"/>
    <s v="Resolved"/>
    <n v="1"/>
    <n v="1"/>
    <x v="2"/>
    <x v="3"/>
    <n v="92"/>
    <s v="S18_4409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2"/>
    <n v="100"/>
    <n v="1"/>
    <x v="1269"/>
    <d v="2005-02-16T00:00:00"/>
    <s v="Shipped"/>
    <n v="1"/>
    <n v="2"/>
    <x v="2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"/>
    <n v="90.19"/>
    <n v="3"/>
    <x v="1270"/>
    <d v="2005-04-22T00:00:00"/>
    <s v="On Hold"/>
    <n v="2"/>
    <n v="4"/>
    <x v="2"/>
    <x v="3"/>
    <n v="92"/>
    <s v="S18_4409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66"/>
    <n v="92.95"/>
    <n v="6"/>
    <x v="1271"/>
    <d v="2005-05-29T00:00:00"/>
    <s v="In Process"/>
    <n v="2"/>
    <n v="5"/>
    <x v="2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5"/>
    <n v="41"/>
    <n v="82.5"/>
    <n v="10"/>
    <x v="1272"/>
    <d v="2003-02-11T00:00:00"/>
    <s v="Shipped"/>
    <n v="1"/>
    <n v="2"/>
    <x v="0"/>
    <x v="3"/>
    <n v="87"/>
    <s v="S18_4522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23"/>
    <n v="97.42"/>
    <n v="4"/>
    <x v="1273"/>
    <d v="2003-04-16T00:00:00"/>
    <s v="Shipped"/>
    <n v="2"/>
    <n v="4"/>
    <x v="0"/>
    <x v="3"/>
    <n v="87"/>
    <s v="S18_452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8"/>
    <n v="43"/>
    <n v="92.16"/>
    <n v="1"/>
    <x v="1274"/>
    <d v="2003-06-06T00:00:00"/>
    <s v="Shipped"/>
    <n v="2"/>
    <n v="6"/>
    <x v="0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24"/>
    <n v="70.22"/>
    <n v="7"/>
    <x v="1275"/>
    <d v="2003-08-08T00:00:00"/>
    <s v="Shipped"/>
    <n v="3"/>
    <n v="8"/>
    <x v="0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22"/>
    <n v="83.38"/>
    <n v="6"/>
    <x v="1276"/>
    <d v="2003-09-28T00:00:00"/>
    <s v="Shipped"/>
    <n v="3"/>
    <n v="9"/>
    <x v="0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Small"/>
  </r>
  <r>
    <n v="10166"/>
    <n v="26"/>
    <n v="73.73"/>
    <n v="1"/>
    <x v="1277"/>
    <d v="2003-10-21T00:00:00"/>
    <s v="Shipped"/>
    <n v="4"/>
    <n v="10"/>
    <x v="0"/>
    <x v="3"/>
    <n v="87"/>
    <s v="S18_4522"/>
    <s v="FunGiftIdeas.com"/>
    <n v="5085552555"/>
    <s v="1785 First Street"/>
    <m/>
    <s v="New Bedford"/>
    <s v="MA"/>
    <n v="50553"/>
    <x v="0"/>
    <s v="NA"/>
    <s v="Benitez"/>
    <s v="Violeta"/>
    <s v="Small"/>
  </r>
  <r>
    <n v="10177"/>
    <n v="35"/>
    <n v="74.599999999999994"/>
    <n v="8"/>
    <x v="1278"/>
    <d v="2003-11-07T00:00:00"/>
    <s v="Shipped"/>
    <n v="4"/>
    <n v="11"/>
    <x v="0"/>
    <x v="3"/>
    <n v="87"/>
    <s v="S18_4522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47"/>
    <n v="77.239999999999995"/>
    <n v="8"/>
    <x v="1279"/>
    <d v="2003-11-14T00:00:00"/>
    <s v="Shipped"/>
    <n v="4"/>
    <n v="11"/>
    <x v="0"/>
    <x v="3"/>
    <n v="87"/>
    <s v="S18_4522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50"/>
    <n v="100"/>
    <n v="14"/>
    <x v="1280"/>
    <d v="2003-11-26T00:00:00"/>
    <s v="Shipped"/>
    <n v="4"/>
    <n v="11"/>
    <x v="0"/>
    <x v="3"/>
    <n v="87"/>
    <s v="S18_4522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45"/>
    <n v="87.77"/>
    <n v="8"/>
    <x v="1281"/>
    <d v="2004-01-02T00:00:00"/>
    <s v="Shipped"/>
    <n v="1"/>
    <n v="1"/>
    <x v="1"/>
    <x v="3"/>
    <n v="87"/>
    <s v="S18_4522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39"/>
    <n v="89.53"/>
    <n v="2"/>
    <x v="1282"/>
    <d v="2004-02-18T00:00:00"/>
    <s v="Shipped"/>
    <n v="1"/>
    <n v="2"/>
    <x v="1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23"/>
    <n v="89.53"/>
    <n v="5"/>
    <x v="1283"/>
    <d v="2004-03-20T00:00:00"/>
    <s v="Shipped"/>
    <n v="1"/>
    <n v="3"/>
    <x v="1"/>
    <x v="3"/>
    <n v="87"/>
    <s v="S18_452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2"/>
    <n v="75.48"/>
    <n v="11"/>
    <x v="1284"/>
    <d v="2004-05-07T00:00:00"/>
    <s v="Cancelled"/>
    <n v="2"/>
    <n v="5"/>
    <x v="1"/>
    <x v="3"/>
    <n v="87"/>
    <s v="S18_4522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0"/>
    <n v="89.53"/>
    <n v="9"/>
    <x v="1285"/>
    <d v="2004-06-17T00:00:00"/>
    <s v="Shipped"/>
    <n v="2"/>
    <n v="6"/>
    <x v="1"/>
    <x v="3"/>
    <n v="87"/>
    <s v="S18_452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33"/>
    <n v="71.09"/>
    <n v="12"/>
    <x v="1286"/>
    <d v="2004-07-21T00:00:00"/>
    <s v="Shipped"/>
    <n v="3"/>
    <n v="7"/>
    <x v="1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4"/>
    <n v="100"/>
    <n v="14"/>
    <x v="1287"/>
    <d v="2004-08-20T00:00:00"/>
    <s v="Shipped"/>
    <n v="3"/>
    <n v="8"/>
    <x v="1"/>
    <x v="3"/>
    <n v="87"/>
    <s v="S18_4522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3"/>
    <n v="49"/>
    <n v="100"/>
    <n v="3"/>
    <x v="1288"/>
    <d v="2004-09-09T00:00:00"/>
    <s v="Shipped"/>
    <n v="3"/>
    <n v="9"/>
    <x v="1"/>
    <x v="3"/>
    <n v="87"/>
    <s v="S18_4522"/>
    <s v="Amica Models &amp; Co."/>
    <s v="011-4988555"/>
    <s v="Via Monte Bianco 34"/>
    <m/>
    <s v="Torino"/>
    <m/>
    <n v="10100"/>
    <x v="12"/>
    <s v="EMEA"/>
    <s v="Accorti"/>
    <s v="Paolo"/>
    <s v="Medium"/>
  </r>
  <r>
    <n v="10306"/>
    <n v="39"/>
    <n v="90.4"/>
    <n v="8"/>
    <x v="880"/>
    <d v="2004-10-14T00:00:00"/>
    <s v="Shipped"/>
    <n v="4"/>
    <n v="10"/>
    <x v="1"/>
    <x v="3"/>
    <n v="87"/>
    <s v="S18_4522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6"/>
    <n v="100"/>
    <n v="7"/>
    <x v="1289"/>
    <d v="2004-10-29T00:00:00"/>
    <s v="Shipped"/>
    <n v="4"/>
    <n v="10"/>
    <x v="1"/>
    <x v="3"/>
    <n v="87"/>
    <s v="S18_4522"/>
    <s v="La Rochelle Gifts"/>
    <s v="40.67.8555"/>
    <s v="67, rue des Cinquante Otages"/>
    <m/>
    <s v="Nantes"/>
    <m/>
    <n v="44000"/>
    <x v="1"/>
    <s v="EMEA"/>
    <s v="Labrune"/>
    <s v="Janine"/>
    <s v="Medium"/>
  </r>
  <r>
    <n v="10326"/>
    <n v="50"/>
    <n v="86.01"/>
    <n v="5"/>
    <x v="1290"/>
    <d v="2004-11-09T00:00:00"/>
    <s v="Shipped"/>
    <n v="4"/>
    <n v="11"/>
    <x v="1"/>
    <x v="3"/>
    <n v="87"/>
    <s v="S18_4522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7"/>
    <n v="29"/>
    <n v="100"/>
    <n v="2"/>
    <x v="1291"/>
    <d v="2004-11-21T00:00:00"/>
    <s v="Shipped"/>
    <n v="4"/>
    <n v="11"/>
    <x v="1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30"/>
    <n v="100"/>
    <n v="3"/>
    <x v="1292"/>
    <d v="2004-12-02T00:00:00"/>
    <s v="Shipped"/>
    <n v="4"/>
    <n v="12"/>
    <x v="1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Medium"/>
  </r>
  <r>
    <n v="10372"/>
    <n v="41"/>
    <n v="86.89"/>
    <n v="7"/>
    <x v="1293"/>
    <d v="2005-01-26T00:00:00"/>
    <s v="Shipped"/>
    <n v="1"/>
    <n v="1"/>
    <x v="2"/>
    <x v="3"/>
    <n v="87"/>
    <s v="S18_4522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3"/>
    <n v="28"/>
    <n v="58.58"/>
    <n v="7"/>
    <x v="1294"/>
    <d v="2005-02-22T00:00:00"/>
    <s v="Shipped"/>
    <n v="1"/>
    <n v="2"/>
    <x v="2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s v="Small"/>
  </r>
  <r>
    <n v="10396"/>
    <n v="45"/>
    <n v="100"/>
    <n v="5"/>
    <x v="1295"/>
    <d v="2005-03-23T00:00:00"/>
    <s v="Shipped"/>
    <n v="1"/>
    <n v="3"/>
    <x v="2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16"/>
    <n v="75.48"/>
    <n v="11"/>
    <x v="1296"/>
    <d v="2005-05-06T00:00:00"/>
    <s v="On Hold"/>
    <n v="2"/>
    <n v="5"/>
    <x v="2"/>
    <x v="3"/>
    <n v="87"/>
    <s v="S18_4522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36"/>
    <n v="100"/>
    <n v="5"/>
    <x v="1297"/>
    <d v="2003-01-29T00:00:00"/>
    <s v="Shipped"/>
    <n v="1"/>
    <n v="1"/>
    <x v="0"/>
    <x v="2"/>
    <n v="121"/>
    <s v="S18_4600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41"/>
    <n v="100"/>
    <n v="9"/>
    <x v="1298"/>
    <d v="2003-04-01T00:00:00"/>
    <s v="Shipped"/>
    <n v="2"/>
    <n v="4"/>
    <x v="0"/>
    <x v="2"/>
    <n v="121"/>
    <s v="S18_4600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50"/>
    <n v="100"/>
    <n v="5"/>
    <x v="1299"/>
    <d v="2003-05-28T00:00:00"/>
    <s v="Shipped"/>
    <n v="2"/>
    <n v="5"/>
    <x v="0"/>
    <x v="2"/>
    <n v="121"/>
    <s v="S18_4600"/>
    <s v="Corrida Auto Replicas, Ltd"/>
    <s v="(91) 555 22 82"/>
    <s v="C/ Araquil, 67"/>
    <m/>
    <s v="Madrid"/>
    <m/>
    <n v="28023"/>
    <x v="7"/>
    <s v="EMEA"/>
    <s v="Sommer"/>
    <s v="Mart¡n"/>
    <s v="Large"/>
  </r>
  <r>
    <n v="10140"/>
    <n v="40"/>
    <n v="100"/>
    <n v="5"/>
    <x v="1300"/>
    <d v="2003-07-24T00:00:00"/>
    <s v="Shipped"/>
    <n v="3"/>
    <n v="7"/>
    <x v="0"/>
    <x v="2"/>
    <n v="121"/>
    <s v="S18_4600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49"/>
    <n v="100"/>
    <n v="2"/>
    <x v="1301"/>
    <d v="2003-09-19T00:00:00"/>
    <s v="Shipped"/>
    <n v="3"/>
    <n v="9"/>
    <x v="0"/>
    <x v="2"/>
    <n v="121"/>
    <s v="S18_460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64"/>
    <n v="45"/>
    <n v="100"/>
    <n v="3"/>
    <x v="1302"/>
    <d v="2003-10-21T00:00:00"/>
    <s v="Resolved"/>
    <n v="4"/>
    <n v="10"/>
    <x v="0"/>
    <x v="2"/>
    <n v="121"/>
    <s v="S18_4600"/>
    <s v="Mini Auto Werke"/>
    <s v="7675-3555"/>
    <s v="Kirchgasse 6"/>
    <m/>
    <s v="Graz"/>
    <m/>
    <n v="8010"/>
    <x v="5"/>
    <s v="EMEA"/>
    <s v="Mendel"/>
    <s v="Roland"/>
    <s v="Medium"/>
  </r>
  <r>
    <n v="10175"/>
    <n v="47"/>
    <n v="100"/>
    <n v="10"/>
    <x v="1303"/>
    <d v="2003-11-06T00:00:00"/>
    <s v="Shipped"/>
    <n v="4"/>
    <n v="11"/>
    <x v="0"/>
    <x v="2"/>
    <n v="121"/>
    <s v="S18_4600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1"/>
    <n v="100"/>
    <n v="2"/>
    <x v="1304"/>
    <d v="2003-11-13T00:00:00"/>
    <s v="Shipped"/>
    <n v="4"/>
    <n v="11"/>
    <x v="0"/>
    <x v="2"/>
    <n v="121"/>
    <s v="S18_4600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32"/>
    <n v="100"/>
    <n v="5"/>
    <x v="1305"/>
    <d v="2003-11-25T00:00:00"/>
    <s v="Shipped"/>
    <n v="4"/>
    <n v="11"/>
    <x v="0"/>
    <x v="2"/>
    <n v="121"/>
    <s v="S18_4600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7"/>
    <n v="100"/>
    <n v="16"/>
    <x v="1306"/>
    <d v="2003-12-09T00:00:00"/>
    <s v="Shipped"/>
    <n v="4"/>
    <n v="12"/>
    <x v="0"/>
    <x v="2"/>
    <n v="121"/>
    <s v="S18_4600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38"/>
    <n v="100"/>
    <n v="5"/>
    <x v="1307"/>
    <d v="2004-02-04T00:00:00"/>
    <s v="Shipped"/>
    <n v="1"/>
    <n v="2"/>
    <x v="1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1"/>
    <n v="100"/>
    <n v="10"/>
    <x v="1308"/>
    <d v="2004-03-11T00:00:00"/>
    <s v="Shipped"/>
    <n v="1"/>
    <n v="3"/>
    <x v="1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21"/>
    <n v="100"/>
    <n v="3"/>
    <x v="1309"/>
    <d v="2004-05-04T00:00:00"/>
    <s v="Shipped"/>
    <n v="2"/>
    <n v="5"/>
    <x v="1"/>
    <x v="2"/>
    <n v="121"/>
    <s v="S18_4600"/>
    <s v="Super Scale Inc."/>
    <n v="2035559545"/>
    <s v="567 North Pendale Street"/>
    <m/>
    <s v="New Haven"/>
    <s v="CT"/>
    <n v="97823"/>
    <x v="0"/>
    <s v="NA"/>
    <s v="Murphy"/>
    <s v="Leslie"/>
    <s v="Small"/>
  </r>
  <r>
    <n v="10259"/>
    <n v="41"/>
    <n v="100"/>
    <n v="13"/>
    <x v="1310"/>
    <d v="2004-06-15T00:00:00"/>
    <s v="Shipped"/>
    <n v="2"/>
    <n v="6"/>
    <x v="1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8"/>
    <n v="100"/>
    <n v="3"/>
    <x v="1311"/>
    <d v="2004-07-19T00:00:00"/>
    <s v="Shipped"/>
    <n v="3"/>
    <n v="7"/>
    <x v="1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5"/>
    <n v="99.29"/>
    <n v="10"/>
    <x v="1312"/>
    <d v="2004-08-19T00:00:00"/>
    <s v="Shipped"/>
    <n v="3"/>
    <n v="8"/>
    <x v="1"/>
    <x v="2"/>
    <n v="121"/>
    <s v="S18_4600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5"/>
    <x v="1313"/>
    <d v="2004-09-08T00:00:00"/>
    <s v="Shipped"/>
    <n v="3"/>
    <n v="9"/>
    <x v="1"/>
    <x v="2"/>
    <n v="121"/>
    <s v="S18_4600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22"/>
    <n v="99.29"/>
    <n v="14"/>
    <x v="1314"/>
    <d v="2004-10-13T00:00:00"/>
    <s v="Shipped"/>
    <n v="4"/>
    <n v="10"/>
    <x v="1"/>
    <x v="2"/>
    <n v="121"/>
    <s v="S18_460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28"/>
    <n v="100"/>
    <n v="8"/>
    <x v="1315"/>
    <d v="2004-10-22T00:00:00"/>
    <s v="Shipped"/>
    <n v="4"/>
    <n v="10"/>
    <x v="1"/>
    <x v="2"/>
    <n v="121"/>
    <s v="S18_4600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3"/>
    <n v="47"/>
    <n v="100"/>
    <n v="1"/>
    <x v="1316"/>
    <d v="2004-11-05T00:00:00"/>
    <s v="Shipped"/>
    <n v="4"/>
    <n v="11"/>
    <x v="1"/>
    <x v="2"/>
    <n v="121"/>
    <s v="S18_4600"/>
    <s v="Blauer See Auto, Co."/>
    <s v="+49 69 66 90 2555"/>
    <s v="Lyonerstr. 34"/>
    <m/>
    <s v="Frankfurt"/>
    <m/>
    <n v="60528"/>
    <x v="16"/>
    <s v="EMEA"/>
    <s v="Keitel"/>
    <s v="Roland"/>
    <s v="Medium"/>
  </r>
  <r>
    <n v="10334"/>
    <n v="49"/>
    <n v="100"/>
    <n v="4"/>
    <x v="1317"/>
    <d v="2004-11-19T00:00:00"/>
    <s v="On Hold"/>
    <n v="4"/>
    <n v="11"/>
    <x v="1"/>
    <x v="2"/>
    <n v="121"/>
    <s v="S18_460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7"/>
    <n v="45"/>
    <n v="100"/>
    <n v="4"/>
    <x v="1318"/>
    <d v="2004-11-29T00:00:00"/>
    <s v="Shipped"/>
    <n v="4"/>
    <n v="11"/>
    <x v="1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7"/>
    <n v="28"/>
    <n v="100"/>
    <n v="2"/>
    <x v="1319"/>
    <d v="2004-12-10T00:00:00"/>
    <s v="Shipped"/>
    <n v="4"/>
    <n v="12"/>
    <x v="1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70"/>
    <n v="29"/>
    <n v="57.53"/>
    <n v="6"/>
    <x v="1320"/>
    <d v="2005-01-20T00:00:00"/>
    <s v="Shipped"/>
    <n v="1"/>
    <n v="1"/>
    <x v="2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1"/>
    <x v="1321"/>
    <d v="2005-02-17T00:00:00"/>
    <s v="Shipped"/>
    <n v="1"/>
    <n v="2"/>
    <x v="2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1"/>
    <n v="46"/>
    <n v="100"/>
    <n v="3"/>
    <x v="1322"/>
    <d v="2005-05-01T00:00:00"/>
    <s v="Shipped"/>
    <n v="2"/>
    <n v="5"/>
    <x v="2"/>
    <x v="2"/>
    <n v="121"/>
    <s v="S18_4600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5"/>
    <n v="38"/>
    <n v="100"/>
    <n v="13"/>
    <x v="1323"/>
    <d v="2005-05-31T00:00:00"/>
    <s v="In Process"/>
    <n v="2"/>
    <n v="5"/>
    <x v="2"/>
    <x v="2"/>
    <n v="121"/>
    <s v="S18_4600"/>
    <s v="La Rochelle Gifts"/>
    <s v="40.67.8555"/>
    <s v="67, rue des Cinquante Otages"/>
    <m/>
    <s v="Nantes"/>
    <m/>
    <n v="44000"/>
    <x v="1"/>
    <s v="EMEA"/>
    <s v="Labrune"/>
    <s v="Janine"/>
    <s v="Medium"/>
  </r>
  <r>
    <n v="10103"/>
    <n v="41"/>
    <n v="47.29"/>
    <n v="9"/>
    <x v="1324"/>
    <d v="2003-01-29T00:00:00"/>
    <s v="Shipped"/>
    <n v="1"/>
    <n v="1"/>
    <x v="0"/>
    <x v="3"/>
    <n v="50"/>
    <s v="S18_4668"/>
    <s v="Baane Mini Imports"/>
    <s v="07-98 9555"/>
    <s v="Erling Skakkes gate 78"/>
    <m/>
    <s v="Stavern"/>
    <m/>
    <n v="4110"/>
    <x v="2"/>
    <s v="EMEA"/>
    <s v="Bergulfsen"/>
    <s v="Jonas"/>
    <s v="Small"/>
  </r>
  <r>
    <n v="10113"/>
    <n v="50"/>
    <n v="49.81"/>
    <n v="3"/>
    <x v="1325"/>
    <d v="2003-03-26T00:00:00"/>
    <s v="Shipped"/>
    <n v="1"/>
    <n v="3"/>
    <x v="0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26"/>
    <n v="43"/>
    <n v="53.83"/>
    <n v="9"/>
    <x v="1326"/>
    <d v="2003-05-28T00:00:00"/>
    <s v="Shipped"/>
    <n v="2"/>
    <n v="5"/>
    <x v="0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29"/>
    <n v="43.27"/>
    <n v="9"/>
    <x v="1327"/>
    <d v="2003-07-24T00:00:00"/>
    <s v="Shipped"/>
    <n v="3"/>
    <n v="7"/>
    <x v="0"/>
    <x v="3"/>
    <n v="50"/>
    <s v="S18_4668"/>
    <s v="Technics Stores Inc."/>
    <n v="6505556809"/>
    <s v="9408 Furth Circle"/>
    <m/>
    <s v="Burlingame"/>
    <s v="CA"/>
    <n v="94217"/>
    <x v="0"/>
    <s v="NA"/>
    <s v="Hirano"/>
    <s v="Juri"/>
    <s v="Small"/>
  </r>
  <r>
    <n v="10150"/>
    <n v="30"/>
    <n v="42.76"/>
    <n v="6"/>
    <x v="1328"/>
    <d v="2003-09-19T00:00:00"/>
    <s v="Shipped"/>
    <n v="3"/>
    <n v="9"/>
    <x v="0"/>
    <x v="3"/>
    <n v="50"/>
    <s v="S18_4668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25"/>
    <n v="53.83"/>
    <n v="7"/>
    <x v="1329"/>
    <d v="2003-10-21T00:00:00"/>
    <s v="Resolved"/>
    <n v="4"/>
    <n v="10"/>
    <x v="0"/>
    <x v="3"/>
    <n v="50"/>
    <s v="S18_4668"/>
    <s v="Mini Auto Werke"/>
    <s v="7675-3555"/>
    <s v="Kirchgasse 6"/>
    <m/>
    <s v="Graz"/>
    <m/>
    <n v="8010"/>
    <x v="5"/>
    <s v="EMEA"/>
    <s v="Mendel"/>
    <s v="Roland"/>
    <s v="Small"/>
  </r>
  <r>
    <n v="10174"/>
    <n v="49"/>
    <n v="44.78"/>
    <n v="2"/>
    <x v="1330"/>
    <d v="2003-11-06T00:00:00"/>
    <s v="Shipped"/>
    <n v="4"/>
    <n v="11"/>
    <x v="0"/>
    <x v="3"/>
    <n v="50"/>
    <s v="S18_4668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83"/>
    <n v="40"/>
    <n v="49.3"/>
    <n v="6"/>
    <x v="1331"/>
    <d v="2003-11-13T00:00:00"/>
    <s v="Shipped"/>
    <n v="4"/>
    <n v="11"/>
    <x v="0"/>
    <x v="3"/>
    <n v="50"/>
    <s v="S18_4668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41"/>
    <n v="44.78"/>
    <n v="9"/>
    <x v="1332"/>
    <d v="2003-11-25T00:00:00"/>
    <s v="Shipped"/>
    <n v="4"/>
    <n v="11"/>
    <x v="0"/>
    <x v="3"/>
    <n v="50"/>
    <s v="S18_4668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21"/>
    <n v="53.33"/>
    <n v="4"/>
    <x v="1333"/>
    <d v="2003-12-05T00:00:00"/>
    <s v="Shipped"/>
    <n v="4"/>
    <n v="12"/>
    <x v="0"/>
    <x v="3"/>
    <n v="50"/>
    <s v="S18_466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5"/>
    <n v="46"/>
    <n v="45.28"/>
    <n v="1"/>
    <x v="1334"/>
    <d v="2004-01-29T00:00:00"/>
    <s v="Shipped"/>
    <n v="1"/>
    <n v="1"/>
    <x v="1"/>
    <x v="3"/>
    <n v="50"/>
    <s v="S18_4668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29"/>
    <n v="39"/>
    <n v="40.25"/>
    <n v="14"/>
    <x v="1335"/>
    <d v="2004-03-11T00:00:00"/>
    <s v="Shipped"/>
    <n v="1"/>
    <n v="3"/>
    <x v="1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45"/>
    <n v="59.87"/>
    <n v="7"/>
    <x v="1336"/>
    <d v="2004-05-04T00:00:00"/>
    <s v="Shipped"/>
    <n v="2"/>
    <n v="5"/>
    <x v="1"/>
    <x v="3"/>
    <n v="50"/>
    <s v="S18_4668"/>
    <s v="Super Scale Inc."/>
    <n v="2035559545"/>
    <s v="567 North Pendale Street"/>
    <m/>
    <s v="New Haven"/>
    <s v="CT"/>
    <n v="97823"/>
    <x v="0"/>
    <s v="NA"/>
    <s v="Murphy"/>
    <s v="Leslie"/>
    <s v="Small"/>
  </r>
  <r>
    <n v="10258"/>
    <n v="21"/>
    <n v="59.87"/>
    <n v="4"/>
    <x v="1337"/>
    <d v="2004-06-15T00:00:00"/>
    <s v="Shipped"/>
    <n v="2"/>
    <n v="6"/>
    <x v="1"/>
    <x v="3"/>
    <n v="50"/>
    <s v="S18_466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270"/>
    <n v="44"/>
    <n v="58.36"/>
    <n v="7"/>
    <x v="1338"/>
    <d v="2004-07-19T00:00:00"/>
    <s v="Shipped"/>
    <n v="3"/>
    <n v="7"/>
    <x v="1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44"/>
    <n v="59.87"/>
    <n v="14"/>
    <x v="1339"/>
    <d v="2004-08-19T00:00:00"/>
    <s v="Shipped"/>
    <n v="3"/>
    <n v="8"/>
    <x v="1"/>
    <x v="3"/>
    <n v="50"/>
    <s v="S18_4668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9"/>
    <n v="51.82"/>
    <n v="9"/>
    <x v="1340"/>
    <d v="2004-09-08T00:00:00"/>
    <s v="Shipped"/>
    <n v="3"/>
    <n v="9"/>
    <x v="1"/>
    <x v="3"/>
    <n v="50"/>
    <s v="S18_4668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34"/>
    <n v="49.3"/>
    <n v="4"/>
    <x v="1341"/>
    <d v="2004-10-11T00:00:00"/>
    <s v="Shipped"/>
    <n v="4"/>
    <n v="10"/>
    <x v="1"/>
    <x v="3"/>
    <n v="50"/>
    <s v="S18_4668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9"/>
    <n v="56.85"/>
    <n v="1"/>
    <x v="1342"/>
    <d v="2004-10-21T00:00:00"/>
    <s v="Shipped"/>
    <n v="4"/>
    <n v="10"/>
    <x v="1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4"/>
    <n v="38"/>
    <n v="100"/>
    <n v="6"/>
    <x v="1343"/>
    <d v="2004-11-05T00:00:00"/>
    <s v="Shipped"/>
    <n v="4"/>
    <n v="11"/>
    <x v="1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24"/>
    <n v="79.86"/>
    <n v="8"/>
    <x v="1344"/>
    <d v="2004-11-18T00:00:00"/>
    <s v="Shipped"/>
    <n v="4"/>
    <n v="11"/>
    <x v="1"/>
    <x v="3"/>
    <n v="50"/>
    <s v="S18_4668"/>
    <s v="Mini Wheels Co."/>
    <n v="6505555787"/>
    <s v="5557 North Pendale Street"/>
    <m/>
    <s v="San Francisco"/>
    <s v="CA"/>
    <m/>
    <x v="0"/>
    <s v="NA"/>
    <s v="Murphy"/>
    <s v="Julie"/>
    <s v="Small"/>
  </r>
  <r>
    <n v="10348"/>
    <n v="29"/>
    <n v="100"/>
    <n v="6"/>
    <x v="1345"/>
    <d v="2004-11-01T00:00:00"/>
    <s v="Shipped"/>
    <n v="4"/>
    <n v="11"/>
    <x v="1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s v="Large"/>
  </r>
  <r>
    <n v="10358"/>
    <n v="30"/>
    <n v="100"/>
    <n v="8"/>
    <x v="1346"/>
    <d v="2004-12-10T00:00:00"/>
    <s v="Shipped"/>
    <n v="4"/>
    <n v="12"/>
    <x v="1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s v="Medium"/>
  </r>
  <r>
    <n v="10370"/>
    <n v="20"/>
    <n v="100"/>
    <n v="2"/>
    <x v="1085"/>
    <d v="2005-01-20T00:00:00"/>
    <s v="Shipped"/>
    <n v="1"/>
    <n v="1"/>
    <x v="2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382"/>
    <n v="39"/>
    <n v="100"/>
    <n v="2"/>
    <x v="1347"/>
    <d v="2005-02-17T00:00:00"/>
    <s v="Shipped"/>
    <n v="1"/>
    <n v="2"/>
    <x v="2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s v="Large"/>
  </r>
  <r>
    <n v="10411"/>
    <n v="35"/>
    <n v="59.87"/>
    <n v="7"/>
    <x v="1348"/>
    <d v="2005-05-01T00:00:00"/>
    <s v="Shipped"/>
    <n v="2"/>
    <n v="5"/>
    <x v="2"/>
    <x v="3"/>
    <n v="50"/>
    <s v="S18_466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4"/>
    <n v="26"/>
    <n v="59.87"/>
    <n v="4"/>
    <x v="1349"/>
    <d v="2005-05-31T00:00:00"/>
    <s v="In Process"/>
    <n v="2"/>
    <n v="5"/>
    <x v="2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s v="Small"/>
  </r>
  <r>
    <n v="10108"/>
    <n v="44"/>
    <n v="100"/>
    <n v="11"/>
    <x v="1350"/>
    <d v="2003-03-03T00:00:00"/>
    <s v="Shipped"/>
    <n v="1"/>
    <n v="3"/>
    <x v="0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28"/>
    <n v="100"/>
    <n v="15"/>
    <x v="1351"/>
    <d v="2003-05-08T00:00:00"/>
    <s v="Shipped"/>
    <n v="2"/>
    <n v="5"/>
    <x v="0"/>
    <x v="1"/>
    <n v="148"/>
    <s v="S18_4721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31"/>
    <n v="100"/>
    <n v="12"/>
    <x v="1352"/>
    <d v="2003-07-02T00:00:00"/>
    <s v="Shipped"/>
    <n v="3"/>
    <n v="7"/>
    <x v="0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6"/>
    <n v="29"/>
    <n v="100"/>
    <n v="1"/>
    <x v="1353"/>
    <d v="2003-09-03T00:00:00"/>
    <s v="Shipped"/>
    <n v="3"/>
    <n v="9"/>
    <x v="0"/>
    <x v="1"/>
    <n v="148"/>
    <s v="S18_4721"/>
    <s v="Gift Ideas Corp."/>
    <n v="2035554407"/>
    <s v="2440 Pompton St."/>
    <m/>
    <s v="Glendale"/>
    <s v="CT"/>
    <n v="97561"/>
    <x v="0"/>
    <s v="NA"/>
    <s v="Lewis"/>
    <s v="Dan"/>
    <s v="Medium"/>
  </r>
  <r>
    <n v="10159"/>
    <n v="32"/>
    <n v="100"/>
    <n v="7"/>
    <x v="1354"/>
    <d v="2003-10-10T00:00:00"/>
    <s v="Shipped"/>
    <n v="4"/>
    <n v="10"/>
    <x v="0"/>
    <x v="1"/>
    <n v="148"/>
    <s v="S18_4721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3"/>
    <n v="100"/>
    <n v="7"/>
    <x v="852"/>
    <d v="2003-11-04T00:00:00"/>
    <s v="Shipped"/>
    <n v="4"/>
    <n v="11"/>
    <x v="0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44"/>
    <n v="100"/>
    <n v="2"/>
    <x v="1350"/>
    <d v="2003-11-11T00:00:00"/>
    <s v="Shipped"/>
    <n v="4"/>
    <n v="11"/>
    <x v="0"/>
    <x v="1"/>
    <n v="148"/>
    <s v="S18_4721"/>
    <s v="Daedalus Designs Imports"/>
    <s v="20.16.1555"/>
    <s v="184, chausse de Tournai"/>
    <m/>
    <s v="Lille"/>
    <m/>
    <n v="59000"/>
    <x v="1"/>
    <s v="EMEA"/>
    <s v="Rance"/>
    <s v="Martine"/>
    <s v="Medium"/>
  </r>
  <r>
    <n v="10191"/>
    <n v="32"/>
    <n v="100"/>
    <n v="8"/>
    <x v="1355"/>
    <d v="2003-11-20T00:00:00"/>
    <s v="Shipped"/>
    <n v="4"/>
    <n v="11"/>
    <x v="0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s v="Medium"/>
  </r>
  <r>
    <n v="10211"/>
    <n v="41"/>
    <n v="100"/>
    <n v="7"/>
    <x v="1356"/>
    <d v="2004-01-15T00:00:00"/>
    <s v="Shipped"/>
    <n v="1"/>
    <n v="1"/>
    <x v="1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s v="Medium"/>
  </r>
  <r>
    <n v="10225"/>
    <n v="35"/>
    <n v="100"/>
    <n v="14"/>
    <x v="1357"/>
    <d v="2004-02-22T00:00:00"/>
    <s v="Shipped"/>
    <n v="1"/>
    <n v="2"/>
    <x v="1"/>
    <x v="1"/>
    <n v="148"/>
    <s v="S18_4721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44"/>
    <n v="100"/>
    <n v="8"/>
    <x v="1358"/>
    <d v="2004-04-09T00:00:00"/>
    <s v="Shipped"/>
    <n v="2"/>
    <n v="4"/>
    <x v="1"/>
    <x v="1"/>
    <n v="148"/>
    <s v="S18_4721"/>
    <s v="Danish Wholesale Imports"/>
    <s v="31 12 3555"/>
    <s v="Vinb'ltet 34"/>
    <m/>
    <s v="Kobenhavn"/>
    <m/>
    <n v="1734"/>
    <x v="13"/>
    <s v="EMEA"/>
    <s v="Petersen"/>
    <s v="Jytte"/>
    <s v="Medium"/>
  </r>
  <r>
    <n v="10252"/>
    <n v="26"/>
    <n v="100"/>
    <n v="4"/>
    <x v="1359"/>
    <d v="2004-05-26T00:00:00"/>
    <s v="Shipped"/>
    <n v="2"/>
    <n v="5"/>
    <x v="1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20"/>
    <n v="100"/>
    <n v="2"/>
    <x v="1360"/>
    <d v="2004-06-30T00:00:00"/>
    <s v="Shipped"/>
    <n v="2"/>
    <n v="6"/>
    <x v="1"/>
    <x v="1"/>
    <n v="148"/>
    <s v="S18_4721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48"/>
    <n v="100"/>
    <n v="8"/>
    <x v="1361"/>
    <d v="2004-08-02T00:00:00"/>
    <s v="Shipped"/>
    <n v="3"/>
    <n v="8"/>
    <x v="1"/>
    <x v="1"/>
    <n v="148"/>
    <s v="S18_4721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34"/>
    <n v="100"/>
    <n v="17"/>
    <x v="1362"/>
    <d v="2004-08-30T00:00:00"/>
    <s v="Shipped"/>
    <n v="3"/>
    <n v="8"/>
    <x v="1"/>
    <x v="1"/>
    <n v="148"/>
    <s v="S18_4721"/>
    <s v="Vida Sport, Ltd"/>
    <s v="0897-034555"/>
    <s v="Grenzacherweg 237"/>
    <m/>
    <s v="Gensve"/>
    <m/>
    <n v="1203"/>
    <x v="17"/>
    <s v="EMEA"/>
    <s v="Holz"/>
    <s v="Michael"/>
    <s v="Medium"/>
  </r>
  <r>
    <n v="10299"/>
    <n v="49"/>
    <n v="100"/>
    <n v="2"/>
    <x v="1363"/>
    <d v="2004-09-30T00:00:00"/>
    <s v="Shipped"/>
    <n v="3"/>
    <n v="9"/>
    <x v="1"/>
    <x v="1"/>
    <n v="148"/>
    <s v="S18_4721"/>
    <s v="Toys of Finland, Co."/>
    <s v="90-224 8555"/>
    <s v="Keskuskatu 45"/>
    <m/>
    <s v="Helsinki"/>
    <m/>
    <n v="21240"/>
    <x v="4"/>
    <s v="EMEA"/>
    <s v="Karttunen"/>
    <s v="Matti"/>
    <s v="Large"/>
  </r>
  <r>
    <n v="10310"/>
    <n v="40"/>
    <n v="100"/>
    <n v="15"/>
    <x v="1364"/>
    <d v="2004-10-16T00:00:00"/>
    <s v="Shipped"/>
    <n v="4"/>
    <n v="10"/>
    <x v="1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s v="Medium"/>
  </r>
  <r>
    <n v="10319"/>
    <n v="45"/>
    <n v="100"/>
    <n v="3"/>
    <x v="1365"/>
    <d v="2004-11-03T00:00:00"/>
    <s v="Shipped"/>
    <n v="4"/>
    <n v="11"/>
    <x v="1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s v="Large"/>
  </r>
  <r>
    <n v="10330"/>
    <n v="50"/>
    <n v="100"/>
    <n v="4"/>
    <x v="1366"/>
    <d v="2004-11-16T00:00:00"/>
    <s v="Shipped"/>
    <n v="4"/>
    <n v="11"/>
    <x v="1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2"/>
    <n v="38"/>
    <n v="100"/>
    <n v="11"/>
    <x v="1367"/>
    <d v="2004-11-24T00:00:00"/>
    <s v="Shipped"/>
    <n v="4"/>
    <n v="11"/>
    <x v="1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25"/>
    <n v="100"/>
    <n v="2"/>
    <x v="1368"/>
    <d v="2004-12-07T00:00:00"/>
    <s v="Shipped"/>
    <n v="4"/>
    <n v="12"/>
    <x v="1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28"/>
    <n v="58.18"/>
    <n v="13"/>
    <x v="1369"/>
    <d v="2005-01-06T00:00:00"/>
    <s v="Shipped"/>
    <n v="1"/>
    <n v="1"/>
    <x v="2"/>
    <x v="1"/>
    <n v="148"/>
    <s v="S18_4721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49"/>
    <n v="67.14"/>
    <n v="8"/>
    <x v="1370"/>
    <d v="2005-02-10T00:00:00"/>
    <s v="Shipped"/>
    <n v="1"/>
    <n v="2"/>
    <x v="2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49"/>
    <n v="100"/>
    <n v="3"/>
    <x v="1371"/>
    <d v="2005-03-04T00:00:00"/>
    <s v="Shipped"/>
    <n v="1"/>
    <n v="3"/>
    <x v="2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10"/>
    <n v="42"/>
    <n v="61.29"/>
    <n v="9"/>
    <x v="1372"/>
    <d v="2003-03-18T00:00:00"/>
    <s v="Shipped"/>
    <n v="1"/>
    <n v="3"/>
    <x v="0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23"/>
    <n v="57.73"/>
    <n v="8"/>
    <x v="1373"/>
    <d v="2003-05-21T00:00:00"/>
    <s v="Shipped"/>
    <n v="2"/>
    <n v="5"/>
    <x v="0"/>
    <x v="1"/>
    <n v="71"/>
    <s v="S18_4933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9"/>
    <n v="81.25"/>
    <n v="2"/>
    <x v="1374"/>
    <d v="2003-09-11T00:00:00"/>
    <s v="Shipped"/>
    <n v="3"/>
    <n v="9"/>
    <x v="0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5"/>
    <n v="80.540000000000006"/>
    <n v="1"/>
    <x v="1375"/>
    <d v="2003-10-17T00:00:00"/>
    <s v="Shipped"/>
    <n v="4"/>
    <n v="10"/>
    <x v="0"/>
    <x v="1"/>
    <n v="71"/>
    <s v="S18_4933"/>
    <s v="Heintze Collectables"/>
    <s v="86 21 3555"/>
    <s v="Smagsloget 45"/>
    <m/>
    <s v="Aaarhus"/>
    <m/>
    <n v="8200"/>
    <x v="13"/>
    <s v="EMEA"/>
    <s v="Ibsen"/>
    <s v="Palle"/>
    <s v="Small"/>
  </r>
  <r>
    <n v="10173"/>
    <n v="39"/>
    <n v="71.98"/>
    <n v="15"/>
    <x v="1376"/>
    <d v="2003-11-05T00:00:00"/>
    <s v="Shipped"/>
    <n v="4"/>
    <n v="11"/>
    <x v="0"/>
    <x v="1"/>
    <n v="71"/>
    <s v="S18_4933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44"/>
    <n v="69.84"/>
    <n v="12"/>
    <x v="1377"/>
    <d v="2003-11-12T00:00:00"/>
    <s v="Shipped"/>
    <n v="4"/>
    <n v="11"/>
    <x v="0"/>
    <x v="1"/>
    <n v="71"/>
    <s v="S18_493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3"/>
    <n v="25"/>
    <n v="76.260000000000005"/>
    <n v="16"/>
    <x v="1378"/>
    <d v="2003-11-21T00:00:00"/>
    <s v="Shipped"/>
    <n v="4"/>
    <n v="11"/>
    <x v="0"/>
    <x v="1"/>
    <n v="71"/>
    <s v="S18_4933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45"/>
    <n v="76.260000000000005"/>
    <n v="6"/>
    <x v="1379"/>
    <d v="2003-12-02T00:00:00"/>
    <s v="Shipped"/>
    <n v="4"/>
    <n v="12"/>
    <x v="0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5"/>
    <n v="83.39"/>
    <n v="2"/>
    <x v="1380"/>
    <d v="2004-01-22T00:00:00"/>
    <s v="Shipped"/>
    <n v="1"/>
    <n v="1"/>
    <x v="1"/>
    <x v="1"/>
    <n v="71"/>
    <s v="S18_4933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227"/>
    <n v="37"/>
    <n v="57.73"/>
    <n v="12"/>
    <x v="1381"/>
    <d v="2004-03-02T00:00:00"/>
    <s v="Shipped"/>
    <n v="1"/>
    <n v="3"/>
    <x v="1"/>
    <x v="1"/>
    <n v="71"/>
    <s v="S18_4933"/>
    <s v="Saveley &amp; Henriot, Co."/>
    <s v="78.32.5555"/>
    <s v="2, rue du Commerce"/>
    <m/>
    <s v="Lyon"/>
    <m/>
    <n v="69004"/>
    <x v="1"/>
    <s v="EMEA"/>
    <s v="Saveley"/>
    <s v="Mary"/>
    <s v="Small"/>
  </r>
  <r>
    <n v="10241"/>
    <n v="30"/>
    <n v="66.989999999999995"/>
    <n v="4"/>
    <x v="1382"/>
    <d v="2004-04-13T00:00:00"/>
    <s v="Shipped"/>
    <n v="2"/>
    <n v="4"/>
    <x v="1"/>
    <x v="1"/>
    <n v="71"/>
    <s v="S18_4933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36"/>
    <n v="75.55"/>
    <n v="1"/>
    <x v="1383"/>
    <d v="2004-07-07T00:00:00"/>
    <s v="Shipped"/>
    <n v="3"/>
    <n v="7"/>
    <x v="1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s v="Small"/>
  </r>
  <r>
    <n v="10279"/>
    <n v="26"/>
    <n v="60.58"/>
    <n v="1"/>
    <x v="1384"/>
    <d v="2004-08-09T00:00:00"/>
    <s v="Shipped"/>
    <n v="3"/>
    <n v="8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23"/>
    <n v="73.41"/>
    <n v="7"/>
    <x v="1385"/>
    <d v="2004-09-01T00:00:00"/>
    <s v="Shipped"/>
    <n v="3"/>
    <n v="9"/>
    <x v="1"/>
    <x v="1"/>
    <n v="71"/>
    <s v="S18_4933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23"/>
    <n v="72.7"/>
    <n v="3"/>
    <x v="1386"/>
    <d v="2003-10-06T00:00:00"/>
    <s v="Shipped"/>
    <n v="4"/>
    <n v="10"/>
    <x v="0"/>
    <x v="1"/>
    <n v="71"/>
    <s v="S18_493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311"/>
    <n v="25"/>
    <n v="66.989999999999995"/>
    <n v="2"/>
    <x v="1387"/>
    <d v="2004-10-16T00:00:00"/>
    <s v="Shipped"/>
    <n v="4"/>
    <n v="10"/>
    <x v="1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Small"/>
  </r>
  <r>
    <n v="10332"/>
    <n v="21"/>
    <n v="100"/>
    <n v="3"/>
    <x v="1388"/>
    <d v="2004-11-17T00:00:00"/>
    <s v="Shipped"/>
    <n v="4"/>
    <n v="11"/>
    <x v="1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26"/>
    <n v="63.43"/>
    <n v="5"/>
    <x v="1389"/>
    <d v="2004-11-25T00:00:00"/>
    <s v="Shipped"/>
    <n v="4"/>
    <n v="11"/>
    <x v="1"/>
    <x v="1"/>
    <n v="71"/>
    <s v="S18_4933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44"/>
    <n v="85.25"/>
    <n v="9"/>
    <x v="1390"/>
    <d v="2005-01-12T00:00:00"/>
    <s v="Resolved"/>
    <n v="1"/>
    <n v="1"/>
    <x v="2"/>
    <x v="1"/>
    <n v="71"/>
    <s v="S18_4933"/>
    <s v="Toys4GrownUps.com"/>
    <n v="6265557265"/>
    <s v="78934 Hillside Dr."/>
    <m/>
    <s v="Pasadena"/>
    <s v="CA"/>
    <n v="90003"/>
    <x v="0"/>
    <s v="NA"/>
    <s v="Young"/>
    <s v="Julie"/>
    <s v="Medium"/>
  </r>
  <r>
    <n v="10380"/>
    <n v="24"/>
    <n v="100"/>
    <n v="2"/>
    <x v="1391"/>
    <d v="2005-02-16T00:00:00"/>
    <s v="Shipped"/>
    <n v="1"/>
    <n v="2"/>
    <x v="2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6"/>
    <n v="66.989999999999995"/>
    <n v="4"/>
    <x v="1392"/>
    <d v="2005-04-22T00:00:00"/>
    <s v="On Hold"/>
    <n v="2"/>
    <n v="4"/>
    <x v="2"/>
    <x v="1"/>
    <n v="71"/>
    <s v="S18_4933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36"/>
    <n v="57.73"/>
    <n v="7"/>
    <x v="1393"/>
    <d v="2005-05-29T00:00:00"/>
    <s v="In Process"/>
    <n v="2"/>
    <n v="5"/>
    <x v="2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10"/>
    <n v="36"/>
    <n v="85.25"/>
    <n v="13"/>
    <x v="1394"/>
    <d v="2003-03-18T00:00:00"/>
    <s v="Shipped"/>
    <n v="1"/>
    <n v="3"/>
    <x v="0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2"/>
    <n v="77.900000000000006"/>
    <n v="12"/>
    <x v="1395"/>
    <d v="2003-05-21T00:00:00"/>
    <s v="Shipped"/>
    <n v="2"/>
    <n v="5"/>
    <x v="0"/>
    <x v="1"/>
    <n v="73"/>
    <s v="S24_1046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5"/>
    <n v="60.26"/>
    <n v="6"/>
    <x v="1396"/>
    <d v="2003-09-11T00:00:00"/>
    <s v="Shipped"/>
    <n v="3"/>
    <n v="9"/>
    <x v="0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37"/>
    <n v="72.760000000000005"/>
    <n v="5"/>
    <x v="1397"/>
    <d v="2003-10-17T00:00:00"/>
    <s v="Shipped"/>
    <n v="4"/>
    <n v="10"/>
    <x v="0"/>
    <x v="1"/>
    <n v="73"/>
    <s v="S24_1046"/>
    <s v="Heintze Collectables"/>
    <s v="86 21 3555"/>
    <s v="Smagsloget 45"/>
    <m/>
    <s v="Aaarhus"/>
    <m/>
    <n v="8200"/>
    <x v="13"/>
    <s v="EMEA"/>
    <s v="Ibsen"/>
    <s v="Palle"/>
    <s v="Small"/>
  </r>
  <r>
    <n v="10172"/>
    <n v="32"/>
    <n v="75.69"/>
    <n v="3"/>
    <x v="1398"/>
    <d v="2003-11-05T00:00:00"/>
    <s v="Shipped"/>
    <n v="4"/>
    <n v="11"/>
    <x v="0"/>
    <x v="1"/>
    <n v="73"/>
    <s v="S24_1046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47"/>
    <n v="74.22"/>
    <n v="16"/>
    <x v="1399"/>
    <d v="2003-11-12T00:00:00"/>
    <s v="Shipped"/>
    <n v="4"/>
    <n v="11"/>
    <x v="0"/>
    <x v="1"/>
    <n v="73"/>
    <s v="S24_104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37"/>
    <n v="69.819999999999993"/>
    <n v="4"/>
    <x v="1400"/>
    <d v="2003-11-20T00:00:00"/>
    <s v="Shipped"/>
    <n v="4"/>
    <n v="11"/>
    <x v="0"/>
    <x v="1"/>
    <n v="73"/>
    <s v="S24_1046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20"/>
    <n v="62.47"/>
    <n v="10"/>
    <x v="1401"/>
    <d v="2003-12-02T00:00:00"/>
    <s v="Shipped"/>
    <n v="4"/>
    <n v="12"/>
    <x v="0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1"/>
    <n v="82.31"/>
    <n v="3"/>
    <x v="1402"/>
    <d v="2004-01-16T00:00:00"/>
    <s v="Shipped"/>
    <n v="1"/>
    <n v="1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21"/>
    <n v="60.26"/>
    <n v="1"/>
    <x v="1403"/>
    <d v="2004-02-26T00:00:00"/>
    <s v="Shipped"/>
    <n v="1"/>
    <n v="2"/>
    <x v="1"/>
    <x v="1"/>
    <n v="73"/>
    <s v="S24_1046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1"/>
    <n v="22"/>
    <n v="76.430000000000007"/>
    <n v="8"/>
    <x v="1404"/>
    <d v="2004-04-13T00:00:00"/>
    <s v="Shipped"/>
    <n v="2"/>
    <n v="4"/>
    <x v="1"/>
    <x v="1"/>
    <n v="73"/>
    <s v="S24_1046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0"/>
    <n v="80.099999999999994"/>
    <n v="5"/>
    <x v="1405"/>
    <d v="2004-07-07T00:00:00"/>
    <s v="Shipped"/>
    <n v="3"/>
    <n v="7"/>
    <x v="1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2"/>
    <n v="74.959999999999994"/>
    <n v="5"/>
    <x v="1406"/>
    <d v="2004-08-09T00:00:00"/>
    <s v="Shipped"/>
    <n v="3"/>
    <n v="8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36"/>
    <n v="66.14"/>
    <n v="11"/>
    <x v="1407"/>
    <d v="2004-09-01T00:00:00"/>
    <s v="Shipped"/>
    <n v="3"/>
    <n v="9"/>
    <x v="1"/>
    <x v="1"/>
    <n v="73"/>
    <s v="S24_104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7"/>
    <n v="72.02"/>
    <n v="1"/>
    <x v="1408"/>
    <d v="2003-10-05T00:00:00"/>
    <s v="Shipped"/>
    <n v="4"/>
    <n v="10"/>
    <x v="0"/>
    <x v="1"/>
    <n v="73"/>
    <s v="S24_1046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26"/>
    <n v="87.45"/>
    <n v="6"/>
    <x v="1409"/>
    <d v="2004-10-16T00:00:00"/>
    <s v="Shipped"/>
    <n v="4"/>
    <n v="10"/>
    <x v="1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0"/>
    <n v="70.55"/>
    <n v="3"/>
    <x v="1410"/>
    <d v="2004-11-04T00:00:00"/>
    <s v="Shipped"/>
    <n v="4"/>
    <n v="11"/>
    <x v="1"/>
    <x v="1"/>
    <n v="73"/>
    <s v="S24_1046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23"/>
    <n v="56.84"/>
    <n v="4"/>
    <x v="1411"/>
    <d v="2004-11-17T00:00:00"/>
    <s v="Shipped"/>
    <n v="4"/>
    <n v="11"/>
    <x v="1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s v="Small"/>
  </r>
  <r>
    <n v="10344"/>
    <n v="29"/>
    <n v="59.53"/>
    <n v="7"/>
    <x v="1412"/>
    <d v="2004-11-25T00:00:00"/>
    <s v="Shipped"/>
    <n v="4"/>
    <n v="11"/>
    <x v="1"/>
    <x v="1"/>
    <n v="73"/>
    <s v="S24_1046"/>
    <s v="Marseille Mini Autos"/>
    <s v="91.24.4555"/>
    <s v="12, rue des Bouchers"/>
    <m/>
    <s v="Marseille"/>
    <m/>
    <n v="13008"/>
    <x v="1"/>
    <s v="EMEA"/>
    <s v="Lebihan"/>
    <s v="Laurence"/>
    <s v="Small"/>
  </r>
  <r>
    <n v="10367"/>
    <n v="21"/>
    <n v="60.37"/>
    <n v="10"/>
    <x v="1413"/>
    <d v="2005-01-12T00:00:00"/>
    <s v="Resolved"/>
    <n v="1"/>
    <n v="1"/>
    <x v="2"/>
    <x v="1"/>
    <n v="73"/>
    <s v="S24_1046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4"/>
    <n v="100"/>
    <n v="3"/>
    <x v="1414"/>
    <d v="2005-02-16T00:00:00"/>
    <s v="Shipped"/>
    <n v="1"/>
    <n v="2"/>
    <x v="2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26"/>
    <n v="76.430000000000007"/>
    <n v="8"/>
    <x v="1415"/>
    <d v="2005-04-22T00:00:00"/>
    <s v="On Hold"/>
    <n v="2"/>
    <n v="4"/>
    <x v="2"/>
    <x v="1"/>
    <n v="73"/>
    <s v="S24_1046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60"/>
    <n v="64.67"/>
    <n v="11"/>
    <x v="1416"/>
    <d v="2005-05-29T00:00:00"/>
    <s v="In Process"/>
    <n v="2"/>
    <n v="5"/>
    <x v="2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35"/>
    <n v="55.49"/>
    <n v="6"/>
    <x v="1417"/>
    <d v="2003-01-31T00:00:00"/>
    <s v="Shipped"/>
    <n v="1"/>
    <n v="1"/>
    <x v="0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115"/>
    <n v="47"/>
    <n v="69.36"/>
    <n v="2"/>
    <x v="1418"/>
    <d v="2003-04-04T00:00:00"/>
    <s v="Shipped"/>
    <n v="2"/>
    <n v="4"/>
    <x v="0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60.69"/>
    <n v="8"/>
    <x v="1419"/>
    <d v="2003-06-03T00:00:00"/>
    <s v="Shipped"/>
    <n v="2"/>
    <n v="6"/>
    <x v="0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0"/>
    <n v="54.33"/>
    <n v="2"/>
    <x v="1420"/>
    <d v="2003-08-01T00:00:00"/>
    <s v="Shipped"/>
    <n v="3"/>
    <n v="8"/>
    <x v="0"/>
    <x v="1"/>
    <n v="57"/>
    <s v="S24_1444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2"/>
    <n v="25"/>
    <n v="65.31"/>
    <n v="4"/>
    <x v="1421"/>
    <d v="2003-09-25T00:00:00"/>
    <s v="Shipped"/>
    <n v="3"/>
    <n v="9"/>
    <x v="0"/>
    <x v="1"/>
    <n v="57"/>
    <s v="S24_1444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5"/>
    <n v="69.36"/>
    <n v="9"/>
    <x v="1422"/>
    <d v="2003-10-22T00:00:00"/>
    <s v="Shipped"/>
    <n v="4"/>
    <n v="10"/>
    <x v="0"/>
    <x v="1"/>
    <n v="57"/>
    <s v="S24_144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7"/>
    <n v="68.78"/>
    <n v="8"/>
    <x v="1423"/>
    <d v="2003-11-06T00:00:00"/>
    <s v="Shipped"/>
    <n v="4"/>
    <n v="11"/>
    <x v="0"/>
    <x v="1"/>
    <n v="57"/>
    <s v="S24_1444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31"/>
    <n v="60.11"/>
    <n v="3"/>
    <x v="1424"/>
    <d v="2003-11-14T00:00:00"/>
    <s v="Shipped"/>
    <n v="4"/>
    <n v="11"/>
    <x v="0"/>
    <x v="1"/>
    <n v="57"/>
    <s v="S24_1444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44"/>
    <n v="66.47"/>
    <n v="3"/>
    <x v="1425"/>
    <d v="2003-11-25T00:00:00"/>
    <s v="Shipped"/>
    <n v="4"/>
    <n v="11"/>
    <x v="0"/>
    <x v="1"/>
    <n v="57"/>
    <s v="S24_1444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9"/>
    <n v="46.82"/>
    <n v="4"/>
    <x v="1426"/>
    <d v="2003-12-09T00:00:00"/>
    <s v="Shipped"/>
    <n v="4"/>
    <n v="12"/>
    <x v="0"/>
    <x v="1"/>
    <n v="57"/>
    <s v="S24_1444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26"/>
    <n v="56.07"/>
    <n v="8"/>
    <x v="1427"/>
    <d v="2004-02-12T00:00:00"/>
    <s v="Shipped"/>
    <n v="1"/>
    <n v="2"/>
    <x v="1"/>
    <x v="1"/>
    <n v="57"/>
    <s v="S24_144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36"/>
    <n v="54.33"/>
    <n v="6"/>
    <x v="1428"/>
    <d v="2004-03-15T00:00:00"/>
    <s v="Shipped"/>
    <n v="1"/>
    <n v="3"/>
    <x v="1"/>
    <x v="1"/>
    <n v="57"/>
    <s v="S24_1444"/>
    <s v="Blauer See Auto, Co."/>
    <s v="+49 69 66 90 2555"/>
    <s v="Lyonerstr. 34"/>
    <m/>
    <s v="Frankfurt"/>
    <m/>
    <n v="60528"/>
    <x v="16"/>
    <s v="EMEA"/>
    <s v="Keitel"/>
    <s v="Roland"/>
    <s v="Small"/>
  </r>
  <r>
    <n v="10246"/>
    <n v="44"/>
    <n v="52.6"/>
    <n v="2"/>
    <x v="1429"/>
    <d v="2004-05-05T00:00:00"/>
    <s v="Shipped"/>
    <n v="2"/>
    <n v="5"/>
    <x v="1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28"/>
    <n v="46.82"/>
    <n v="1"/>
    <x v="1430"/>
    <d v="2004-06-15T00:00:00"/>
    <s v="Shipped"/>
    <n v="2"/>
    <n v="6"/>
    <x v="1"/>
    <x v="1"/>
    <n v="57"/>
    <s v="S24_1444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45"/>
    <n v="64.739999999999995"/>
    <n v="2"/>
    <x v="1431"/>
    <d v="2004-07-20T00:00:00"/>
    <s v="Shipped"/>
    <n v="3"/>
    <n v="7"/>
    <x v="1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2"/>
    <n v="29"/>
    <n v="46.82"/>
    <n v="11"/>
    <x v="1432"/>
    <d v="2004-08-20T00:00:00"/>
    <s v="Shipped"/>
    <n v="3"/>
    <n v="8"/>
    <x v="1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40"/>
    <n v="53.75"/>
    <n v="5"/>
    <x v="1433"/>
    <d v="2004-09-08T00:00:00"/>
    <s v="Shipped"/>
    <n v="3"/>
    <n v="9"/>
    <x v="1"/>
    <x v="1"/>
    <n v="57"/>
    <s v="S24_1444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5"/>
    <n v="61.85"/>
    <n v="2"/>
    <x v="1434"/>
    <d v="2004-10-13T00:00:00"/>
    <s v="Shipped"/>
    <n v="4"/>
    <n v="10"/>
    <x v="1"/>
    <x v="1"/>
    <n v="57"/>
    <s v="S24_1444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4"/>
    <n v="44"/>
    <n v="53.18"/>
    <n v="11"/>
    <x v="1435"/>
    <d v="2004-10-22T00:00:00"/>
    <s v="Shipped"/>
    <n v="4"/>
    <n v="10"/>
    <x v="1"/>
    <x v="1"/>
    <n v="57"/>
    <s v="S24_1444"/>
    <s v="Heintze Collectables"/>
    <s v="86 21 3555"/>
    <s v="Smagsloget 45"/>
    <m/>
    <s v="Aaarhus"/>
    <m/>
    <n v="8200"/>
    <x v="13"/>
    <s v="EMEA"/>
    <s v="Ibsen"/>
    <s v="Palle"/>
    <s v="Small"/>
  </r>
  <r>
    <n v="10324"/>
    <n v="25"/>
    <n v="69.16"/>
    <n v="14"/>
    <x v="683"/>
    <d v="2004-11-05T00:00:00"/>
    <s v="Shipped"/>
    <n v="4"/>
    <n v="11"/>
    <x v="1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6"/>
    <n v="45"/>
    <n v="100"/>
    <n v="4"/>
    <x v="1436"/>
    <d v="2004-11-20T00:00:00"/>
    <s v="Shipped"/>
    <n v="4"/>
    <n v="11"/>
    <x v="1"/>
    <x v="1"/>
    <n v="57"/>
    <s v="S24_1444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48"/>
    <n v="47.4"/>
    <n v="4"/>
    <x v="1437"/>
    <d v="2004-12-01T00:00:00"/>
    <s v="Shipped"/>
    <n v="4"/>
    <n v="12"/>
    <x v="1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44"/>
    <n v="60.76"/>
    <n v="14"/>
    <x v="1438"/>
    <d v="2004-12-10T00:00:00"/>
    <s v="Shipped"/>
    <n v="4"/>
    <n v="12"/>
    <x v="1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25"/>
    <n v="97.27"/>
    <n v="12"/>
    <x v="1439"/>
    <d v="2005-01-23T00:00:00"/>
    <s v="Shipped"/>
    <n v="1"/>
    <n v="1"/>
    <x v="2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2"/>
    <n v="91.76"/>
    <n v="2"/>
    <x v="1440"/>
    <d v="2005-02-22T00:00:00"/>
    <s v="Shipped"/>
    <n v="1"/>
    <n v="2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1"/>
    <n v="50.29"/>
    <n v="2"/>
    <x v="1441"/>
    <d v="2005-03-15T00:00:00"/>
    <s v="Shipped"/>
    <n v="1"/>
    <n v="3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21"/>
    <n v="52.6"/>
    <n v="2"/>
    <x v="1442"/>
    <d v="2005-05-03T00:00:00"/>
    <s v="Shipped"/>
    <n v="2"/>
    <n v="5"/>
    <x v="2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55"/>
    <n v="46.82"/>
    <n v="1"/>
    <x v="1443"/>
    <d v="2005-05-31T00:00:00"/>
    <s v="In Process"/>
    <n v="2"/>
    <n v="5"/>
    <x v="2"/>
    <x v="1"/>
    <n v="57"/>
    <s v="S24_1444"/>
    <s v="La Rochelle Gifts"/>
    <s v="40.67.8555"/>
    <s v="67, rue des Cinquante Otages"/>
    <m/>
    <s v="Nantes"/>
    <m/>
    <n v="44000"/>
    <x v="1"/>
    <s v="EMEA"/>
    <s v="Labrune"/>
    <s v="Janine"/>
    <s v="Small"/>
  </r>
  <r>
    <n v="10107"/>
    <n v="25"/>
    <n v="100"/>
    <n v="3"/>
    <x v="1444"/>
    <d v="2003-02-24T00:00:00"/>
    <s v="Shipped"/>
    <n v="1"/>
    <n v="2"/>
    <x v="0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35"/>
    <n v="98.05"/>
    <n v="1"/>
    <x v="1445"/>
    <d v="2003-04-29T00:00:00"/>
    <s v="Shipped"/>
    <n v="2"/>
    <n v="4"/>
    <x v="0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4"/>
    <n v="35"/>
    <n v="93.54"/>
    <n v="3"/>
    <x v="1446"/>
    <d v="2003-07-01T00:00:00"/>
    <s v="Shipped"/>
    <n v="3"/>
    <n v="7"/>
    <x v="0"/>
    <x v="0"/>
    <n v="112"/>
    <s v="S24_1578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3"/>
    <n v="95.8"/>
    <n v="7"/>
    <x v="1447"/>
    <d v="2003-08-25T00:00:00"/>
    <s v="Shipped"/>
    <n v="3"/>
    <n v="8"/>
    <x v="0"/>
    <x v="0"/>
    <n v="112"/>
    <s v="S24_1578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44"/>
    <n v="100"/>
    <n v="15"/>
    <x v="1448"/>
    <d v="2003-10-10T00:00:00"/>
    <s v="Shipped"/>
    <n v="4"/>
    <n v="10"/>
    <x v="0"/>
    <x v="0"/>
    <n v="112"/>
    <s v="S24_1578"/>
    <s v="Corporate Gift Ideas Co."/>
    <n v="6505551386"/>
    <s v="7734 Strong St."/>
    <m/>
    <s v="San Francisco"/>
    <s v="CA"/>
    <m/>
    <x v="0"/>
    <s v="NA"/>
    <s v="Brown"/>
    <s v="Julie"/>
    <s v="Medium"/>
  </r>
  <r>
    <n v="10168"/>
    <n v="50"/>
    <n v="100"/>
    <n v="2"/>
    <x v="1449"/>
    <d v="2003-10-28T00:00:00"/>
    <s v="Shipped"/>
    <n v="4"/>
    <n v="10"/>
    <x v="0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s v="Medium"/>
  </r>
  <r>
    <n v="10180"/>
    <n v="48"/>
    <n v="100"/>
    <n v="10"/>
    <x v="1450"/>
    <d v="2003-11-11T00:00:00"/>
    <s v="Shipped"/>
    <n v="4"/>
    <n v="11"/>
    <x v="0"/>
    <x v="0"/>
    <n v="112"/>
    <s v="S24_1578"/>
    <s v="Daedalus Designs Imports"/>
    <s v="20.16.1555"/>
    <s v="184, chausse de Tournai"/>
    <m/>
    <s v="Lille"/>
    <m/>
    <n v="59000"/>
    <x v="1"/>
    <s v="EMEA"/>
    <s v="Rance"/>
    <s v="Martine"/>
    <s v="Medium"/>
  </r>
  <r>
    <n v="10188"/>
    <n v="25"/>
    <n v="100"/>
    <n v="2"/>
    <x v="1451"/>
    <d v="2003-11-18T00:00:00"/>
    <s v="Shipped"/>
    <n v="4"/>
    <n v="11"/>
    <x v="0"/>
    <x v="0"/>
    <n v="112"/>
    <s v="S24_1578"/>
    <s v="Herkku Gifts"/>
    <s v="+47 2267 3215"/>
    <s v="Drammen 121, PR 744 Sentrum"/>
    <m/>
    <s v="Bergen"/>
    <m/>
    <s v="N 5804"/>
    <x v="2"/>
    <s v="EMEA"/>
    <s v="Oeztan"/>
    <s v="Veysel"/>
    <s v="Small"/>
  </r>
  <r>
    <n v="10201"/>
    <n v="39"/>
    <n v="100"/>
    <n v="3"/>
    <x v="1452"/>
    <d v="2003-12-01T00:00:00"/>
    <s v="Shipped"/>
    <n v="4"/>
    <n v="12"/>
    <x v="0"/>
    <x v="0"/>
    <n v="112"/>
    <s v="S24_1578"/>
    <s v="Mini Wheels Co."/>
    <n v="6505555787"/>
    <s v="5557 North Pendale Street"/>
    <m/>
    <s v="San Francisco"/>
    <s v="CA"/>
    <m/>
    <x v="0"/>
    <s v="NA"/>
    <s v="Murphy"/>
    <s v="Julie"/>
    <s v="Medium"/>
  </r>
  <r>
    <n v="10211"/>
    <n v="25"/>
    <n v="90.16"/>
    <n v="15"/>
    <x v="1453"/>
    <d v="2004-01-15T00:00:00"/>
    <s v="Shipped"/>
    <n v="1"/>
    <n v="1"/>
    <x v="1"/>
    <x v="0"/>
    <n v="112"/>
    <s v="S24_1578"/>
    <s v="Auto Canal Petit"/>
    <s v="(1) 47.55.6555"/>
    <s v="25, rue Lauriston"/>
    <m/>
    <s v="Paris"/>
    <m/>
    <n v="75016"/>
    <x v="1"/>
    <s v="EMEA"/>
    <s v="Perrier"/>
    <s v="Dominique"/>
    <s v="Small"/>
  </r>
  <r>
    <n v="10223"/>
    <n v="32"/>
    <n v="91.29"/>
    <n v="2"/>
    <x v="1454"/>
    <d v="2004-02-20T00:00:00"/>
    <s v="Shipped"/>
    <n v="1"/>
    <n v="2"/>
    <x v="1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7"/>
    <n v="20"/>
    <n v="100"/>
    <n v="8"/>
    <x v="1455"/>
    <d v="2004-04-05T00:00:00"/>
    <s v="Shipped"/>
    <n v="2"/>
    <n v="4"/>
    <x v="1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1"/>
    <n v="26"/>
    <n v="100"/>
    <n v="3"/>
    <x v="1456"/>
    <d v="2004-05-18T00:00:00"/>
    <s v="Shipped"/>
    <n v="2"/>
    <n v="5"/>
    <x v="1"/>
    <x v="0"/>
    <n v="112"/>
    <s v="S24_1578"/>
    <s v="Tekni Collectables Inc."/>
    <n v="2015559350"/>
    <s v="7476 Moss Rd."/>
    <m/>
    <s v="Newark"/>
    <s v="NJ"/>
    <n v="94019"/>
    <x v="0"/>
    <s v="NA"/>
    <s v="Brown"/>
    <s v="William"/>
    <s v="Small"/>
  </r>
  <r>
    <n v="10263"/>
    <n v="42"/>
    <n v="100"/>
    <n v="3"/>
    <x v="1457"/>
    <d v="2004-06-28T00:00:00"/>
    <s v="Shipped"/>
    <n v="2"/>
    <n v="6"/>
    <x v="1"/>
    <x v="0"/>
    <n v="112"/>
    <s v="S24_1578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21"/>
    <n v="100"/>
    <n v="2"/>
    <x v="1458"/>
    <d v="2004-07-23T00:00:00"/>
    <s v="Shipped"/>
    <n v="3"/>
    <n v="7"/>
    <x v="1"/>
    <x v="0"/>
    <n v="112"/>
    <s v="S24_1578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4"/>
    <n v="100"/>
    <n v="7"/>
    <x v="1459"/>
    <d v="2004-08-27T00:00:00"/>
    <s v="Shipped"/>
    <n v="3"/>
    <n v="8"/>
    <x v="1"/>
    <x v="0"/>
    <n v="112"/>
    <s v="S24_157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47"/>
    <n v="100"/>
    <n v="10"/>
    <x v="1460"/>
    <d v="2004-09-30T00:00:00"/>
    <s v="Shipped"/>
    <n v="3"/>
    <n v="9"/>
    <x v="1"/>
    <x v="0"/>
    <n v="112"/>
    <s v="S24_1578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1"/>
    <n v="100"/>
    <n v="6"/>
    <x v="1461"/>
    <d v="2004-10-15T00:00:00"/>
    <s v="Shipped"/>
    <n v="4"/>
    <n v="10"/>
    <x v="1"/>
    <x v="0"/>
    <n v="112"/>
    <s v="S24_1578"/>
    <s v="Baane Mini Imports"/>
    <s v="07-98 9555"/>
    <s v="Erling Skakkes gate 78"/>
    <m/>
    <s v="Stavern"/>
    <m/>
    <n v="4110"/>
    <x v="2"/>
    <s v="EMEA"/>
    <s v="Bergulfsen"/>
    <s v="Jonas"/>
    <s v="Small"/>
  </r>
  <r>
    <n v="10318"/>
    <n v="48"/>
    <n v="100"/>
    <n v="2"/>
    <x v="1462"/>
    <d v="2004-11-02T00:00:00"/>
    <s v="Shipped"/>
    <n v="4"/>
    <n v="11"/>
    <x v="1"/>
    <x v="0"/>
    <n v="112"/>
    <s v="S24_1578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30"/>
    <n v="87.78"/>
    <n v="7"/>
    <x v="1463"/>
    <d v="2004-11-15T00:00:00"/>
    <s v="Shipped"/>
    <n v="4"/>
    <n v="11"/>
    <x v="1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s v="Small"/>
  </r>
  <r>
    <n v="10339"/>
    <n v="27"/>
    <n v="84.39"/>
    <n v="10"/>
    <x v="1464"/>
    <d v="2004-11-23T00:00:00"/>
    <s v="Shipped"/>
    <n v="4"/>
    <n v="11"/>
    <x v="1"/>
    <x v="0"/>
    <n v="112"/>
    <s v="S24_157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62"/>
    <n v="50"/>
    <n v="96.92"/>
    <n v="2"/>
    <x v="1465"/>
    <d v="2005-01-05T00:00:00"/>
    <s v="Shipped"/>
    <n v="1"/>
    <n v="1"/>
    <x v="2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s v="Medium"/>
  </r>
  <r>
    <n v="10374"/>
    <n v="38"/>
    <n v="100"/>
    <n v="6"/>
    <x v="1466"/>
    <d v="2005-02-02T00:00:00"/>
    <s v="Shipped"/>
    <n v="1"/>
    <n v="2"/>
    <x v="2"/>
    <x v="0"/>
    <n v="112"/>
    <s v="S24_1578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9"/>
    <n v="45"/>
    <n v="100"/>
    <n v="1"/>
    <x v="1467"/>
    <d v="2005-03-03T00:00:00"/>
    <s v="Shipped"/>
    <n v="1"/>
    <n v="3"/>
    <x v="2"/>
    <x v="0"/>
    <n v="112"/>
    <s v="S24_1578"/>
    <s v="Scandinavian Gift Ideas"/>
    <s v="0695-34 6555"/>
    <s v="?kergatan 24"/>
    <m/>
    <s v="Boras"/>
    <m/>
    <s v="S-844 67"/>
    <x v="8"/>
    <s v="EMEA"/>
    <s v="Larsson"/>
    <s v="Maria"/>
    <s v="Medium"/>
  </r>
  <r>
    <n v="10403"/>
    <n v="46"/>
    <n v="100"/>
    <n v="8"/>
    <x v="1468"/>
    <d v="2005-04-08T00:00:00"/>
    <s v="Shipped"/>
    <n v="2"/>
    <n v="4"/>
    <x v="2"/>
    <x v="0"/>
    <n v="112"/>
    <s v="S24_1578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417"/>
    <n v="35"/>
    <n v="100"/>
    <n v="3"/>
    <x v="1469"/>
    <d v="2005-05-13T00:00:00"/>
    <s v="Disputed"/>
    <n v="2"/>
    <n v="5"/>
    <x v="2"/>
    <x v="0"/>
    <n v="112"/>
    <s v="S24_1578"/>
    <s v="Euro Shopping Channel"/>
    <s v="(91) 555 94 44"/>
    <s v="C/ Moralzarzal, 86"/>
    <m/>
    <s v="Madrid"/>
    <m/>
    <n v="28034"/>
    <x v="7"/>
    <s v="EMEA"/>
    <s v="Freyre"/>
    <s v="Diego"/>
    <s v="Medium"/>
  </r>
  <r>
    <n v="10110"/>
    <n v="29"/>
    <n v="59.37"/>
    <n v="15"/>
    <x v="1470"/>
    <d v="2003-03-18T00:00:00"/>
    <s v="Shipped"/>
    <n v="1"/>
    <n v="3"/>
    <x v="0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s v="Small"/>
  </r>
  <r>
    <n v="10123"/>
    <n v="50"/>
    <n v="59.87"/>
    <n v="1"/>
    <x v="1471"/>
    <d v="2003-05-20T00:00:00"/>
    <s v="Shipped"/>
    <n v="2"/>
    <n v="5"/>
    <x v="0"/>
    <x v="1"/>
    <n v="50"/>
    <s v="S24_1628"/>
    <s v="Atelier graphique"/>
    <s v="40.32.2555"/>
    <s v="54, rue Royale"/>
    <m/>
    <s v="Nantes"/>
    <m/>
    <n v="44000"/>
    <x v="1"/>
    <s v="EMEA"/>
    <s v="Schmitt"/>
    <s v="Carine"/>
    <s v="Small"/>
  </r>
  <r>
    <n v="10137"/>
    <n v="26"/>
    <n v="49.81"/>
    <n v="1"/>
    <x v="1472"/>
    <d v="2003-07-10T00:00:00"/>
    <s v="Shipped"/>
    <n v="3"/>
    <n v="7"/>
    <x v="0"/>
    <x v="1"/>
    <n v="50"/>
    <s v="S24_1628"/>
    <s v="Reims Collectables"/>
    <s v="26.47.1555"/>
    <s v="59 rue de l'Abbaye"/>
    <m/>
    <s v="Reims"/>
    <m/>
    <n v="51100"/>
    <x v="1"/>
    <s v="EMEA"/>
    <s v="Henriot"/>
    <s v="Paul"/>
    <s v="Small"/>
  </r>
  <r>
    <n v="10148"/>
    <n v="47"/>
    <n v="56.85"/>
    <n v="8"/>
    <x v="1473"/>
    <d v="2003-09-11T00:00:00"/>
    <s v="Shipped"/>
    <n v="3"/>
    <n v="9"/>
    <x v="0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3"/>
    <n v="53.33"/>
    <n v="7"/>
    <x v="1474"/>
    <d v="2003-10-17T00:00:00"/>
    <s v="Shipped"/>
    <n v="4"/>
    <n v="10"/>
    <x v="0"/>
    <x v="1"/>
    <n v="50"/>
    <s v="S24_1628"/>
    <s v="Heintze Collectables"/>
    <s v="86 21 3555"/>
    <s v="Smagsloget 45"/>
    <m/>
    <s v="Aaarhus"/>
    <m/>
    <n v="8200"/>
    <x v="13"/>
    <s v="EMEA"/>
    <s v="Ibsen"/>
    <s v="Palle"/>
    <s v="Small"/>
  </r>
  <r>
    <n v="10172"/>
    <n v="34"/>
    <n v="42.76"/>
    <n v="5"/>
    <x v="1475"/>
    <d v="2003-11-05T00:00:00"/>
    <s v="Shipped"/>
    <n v="4"/>
    <n v="11"/>
    <x v="0"/>
    <x v="1"/>
    <n v="50"/>
    <s v="S24_1628"/>
    <s v="Gift Depot Inc."/>
    <n v="2035552570"/>
    <s v="25593 South Bay Ln."/>
    <m/>
    <s v="Bridgewater"/>
    <s v="CT"/>
    <n v="97562"/>
    <x v="0"/>
    <s v="NA"/>
    <s v="King"/>
    <s v="Julie"/>
    <s v="Small"/>
  </r>
  <r>
    <n v="10181"/>
    <n v="34"/>
    <n v="53.83"/>
    <n v="1"/>
    <x v="1476"/>
    <d v="2003-11-12T00:00:00"/>
    <s v="Shipped"/>
    <n v="4"/>
    <n v="11"/>
    <x v="0"/>
    <x v="1"/>
    <n v="50"/>
    <s v="S24_1628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47"/>
    <n v="53.83"/>
    <n v="6"/>
    <x v="1477"/>
    <d v="2003-11-20T00:00:00"/>
    <s v="Shipped"/>
    <n v="4"/>
    <n v="11"/>
    <x v="0"/>
    <x v="1"/>
    <n v="50"/>
    <s v="S24_1628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45"/>
    <n v="49.81"/>
    <n v="12"/>
    <x v="1478"/>
    <d v="2003-12-02T00:00:00"/>
    <s v="Shipped"/>
    <n v="4"/>
    <n v="12"/>
    <x v="0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2"/>
    <n v="45"/>
    <n v="53.33"/>
    <n v="5"/>
    <x v="1479"/>
    <d v="2004-01-16T00:00:00"/>
    <s v="Shipped"/>
    <n v="1"/>
    <n v="1"/>
    <x v="1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s v="Small"/>
  </r>
  <r>
    <n v="10226"/>
    <n v="36"/>
    <n v="43.27"/>
    <n v="3"/>
    <x v="1480"/>
    <d v="2004-02-26T00:00:00"/>
    <s v="Shipped"/>
    <n v="1"/>
    <n v="2"/>
    <x v="1"/>
    <x v="1"/>
    <n v="50"/>
    <s v="S24_1628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1"/>
    <n v="21"/>
    <n v="40.25"/>
    <n v="10"/>
    <x v="1481"/>
    <d v="2004-04-13T00:00:00"/>
    <s v="Shipped"/>
    <n v="2"/>
    <n v="4"/>
    <x v="1"/>
    <x v="1"/>
    <n v="50"/>
    <s v="S24_1628"/>
    <s v="Mini Caravy"/>
    <s v="88.60.1555"/>
    <s v="24, place Kluber"/>
    <m/>
    <s v="Strasbourg"/>
    <m/>
    <n v="67000"/>
    <x v="1"/>
    <s v="EMEA"/>
    <s v="Citeaux"/>
    <s v="Frederique"/>
    <s v="Small"/>
  </r>
  <r>
    <n v="10266"/>
    <n v="28"/>
    <n v="48.3"/>
    <n v="1"/>
    <x v="1482"/>
    <d v="2004-07-06T00:00:00"/>
    <s v="Shipped"/>
    <n v="3"/>
    <n v="7"/>
    <x v="1"/>
    <x v="1"/>
    <n v="50"/>
    <s v="S24_1628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5"/>
    <n v="45.28"/>
    <n v="1"/>
    <x v="1483"/>
    <d v="2004-08-06T00:00:00"/>
    <s v="Shipped"/>
    <n v="3"/>
    <n v="8"/>
    <x v="1"/>
    <x v="1"/>
    <n v="50"/>
    <s v="S24_1628"/>
    <s v="Signal Gift Stores"/>
    <n v="7025551838"/>
    <s v="8489 Strong St."/>
    <m/>
    <s v="Las Vegas"/>
    <s v="NV"/>
    <n v="83030"/>
    <x v="0"/>
    <s v="NA"/>
    <s v="King"/>
    <s v="Sue"/>
    <s v="Small"/>
  </r>
  <r>
    <n v="10288"/>
    <n v="50"/>
    <n v="52.32"/>
    <n v="13"/>
    <x v="1484"/>
    <d v="2004-09-01T00:00:00"/>
    <s v="Shipped"/>
    <n v="3"/>
    <n v="9"/>
    <x v="1"/>
    <x v="1"/>
    <n v="50"/>
    <s v="S24_162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1"/>
    <n v="22"/>
    <n v="51.32"/>
    <n v="3"/>
    <x v="1485"/>
    <d v="2003-10-05T00:00:00"/>
    <s v="Shipped"/>
    <n v="4"/>
    <n v="10"/>
    <x v="0"/>
    <x v="1"/>
    <n v="50"/>
    <s v="S24_1628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45"/>
    <n v="49.3"/>
    <n v="8"/>
    <x v="1486"/>
    <d v="2004-10-16T00:00:00"/>
    <s v="Shipped"/>
    <n v="4"/>
    <n v="10"/>
    <x v="1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48"/>
    <n v="42.26"/>
    <n v="5"/>
    <x v="1487"/>
    <d v="2004-11-04T00:00:00"/>
    <s v="Shipped"/>
    <n v="4"/>
    <n v="11"/>
    <x v="1"/>
    <x v="1"/>
    <n v="50"/>
    <s v="S24_1628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20"/>
    <n v="87.96"/>
    <n v="5"/>
    <x v="1488"/>
    <d v="2004-11-17T00:00:00"/>
    <s v="Shipped"/>
    <n v="4"/>
    <n v="11"/>
    <x v="1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s v="Small"/>
  </r>
  <r>
    <n v="10343"/>
    <n v="27"/>
    <n v="36.21"/>
    <n v="6"/>
    <x v="1489"/>
    <d v="2004-11-24T00:00:00"/>
    <s v="Shipped"/>
    <n v="4"/>
    <n v="11"/>
    <x v="1"/>
    <x v="1"/>
    <n v="50"/>
    <s v="S24_1628"/>
    <s v="Reims Collectables"/>
    <s v="26.47.1555"/>
    <s v="59 rue de l'Abbaye"/>
    <m/>
    <s v="Reims"/>
    <m/>
    <n v="51100"/>
    <x v="1"/>
    <s v="EMEA"/>
    <s v="Henriot"/>
    <s v="Paul"/>
    <s v="Small"/>
  </r>
  <r>
    <n v="10367"/>
    <n v="38"/>
    <n v="38.5"/>
    <n v="11"/>
    <x v="1490"/>
    <d v="2005-01-12T00:00:00"/>
    <s v="Resolved"/>
    <n v="1"/>
    <n v="1"/>
    <x v="2"/>
    <x v="1"/>
    <n v="50"/>
    <s v="S24_1628"/>
    <s v="Toys4GrownUps.com"/>
    <n v="6265557265"/>
    <s v="78934 Hillside Dr."/>
    <m/>
    <s v="Pasadena"/>
    <s v="CA"/>
    <n v="90003"/>
    <x v="0"/>
    <s v="NA"/>
    <s v="Young"/>
    <s v="Julie"/>
    <s v="Small"/>
  </r>
  <r>
    <n v="10379"/>
    <n v="32"/>
    <n v="100"/>
    <n v="3"/>
    <x v="1491"/>
    <d v="2005-02-10T00:00:00"/>
    <s v="Shipped"/>
    <n v="1"/>
    <n v="2"/>
    <x v="2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64"/>
    <n v="40.25"/>
    <n v="10"/>
    <x v="1492"/>
    <d v="2005-04-22T00:00:00"/>
    <s v="On Hold"/>
    <n v="2"/>
    <n v="4"/>
    <x v="2"/>
    <x v="1"/>
    <n v="50"/>
    <s v="S24_1628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37"/>
    <n v="60.37"/>
    <n v="13"/>
    <x v="1493"/>
    <d v="2005-05-29T00:00:00"/>
    <s v="In Process"/>
    <n v="2"/>
    <n v="5"/>
    <x v="2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6"/>
    <n v="28"/>
    <n v="88.63"/>
    <n v="4"/>
    <x v="1494"/>
    <d v="2003-02-17T00:00:00"/>
    <s v="Shipped"/>
    <n v="1"/>
    <n v="2"/>
    <x v="0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39"/>
    <n v="100"/>
    <n v="10"/>
    <x v="1495"/>
    <d v="2003-04-29T00:00:00"/>
    <s v="Shipped"/>
    <n v="2"/>
    <n v="4"/>
    <x v="0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41"/>
    <n v="94.1"/>
    <n v="5"/>
    <x v="1496"/>
    <d v="2003-06-27T00:00:00"/>
    <s v="Shipped"/>
    <n v="2"/>
    <n v="6"/>
    <x v="0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40"/>
    <n v="87.54"/>
    <n v="16"/>
    <x v="1497"/>
    <d v="2003-08-25T00:00:00"/>
    <s v="Shipped"/>
    <n v="3"/>
    <n v="8"/>
    <x v="0"/>
    <x v="4"/>
    <n v="109"/>
    <s v="S24_1785"/>
    <s v="Toys4GrownUps.com"/>
    <n v="6265557265"/>
    <s v="78934 Hillside Dr."/>
    <m/>
    <s v="Pasadena"/>
    <s v="CA"/>
    <n v="90003"/>
    <x v="0"/>
    <s v="NA"/>
    <s v="Young"/>
    <s v="Julie"/>
    <s v="Medium"/>
  </r>
  <r>
    <n v="10168"/>
    <n v="49"/>
    <n v="100"/>
    <n v="11"/>
    <x v="1498"/>
    <d v="2003-10-28T00:00:00"/>
    <s v="Shipped"/>
    <n v="4"/>
    <n v="10"/>
    <x v="0"/>
    <x v="4"/>
    <n v="109"/>
    <s v="S24_1785"/>
    <s v="Technics Stores Inc."/>
    <n v="6505556809"/>
    <s v="9408 Furth Circle"/>
    <m/>
    <s v="Burlingame"/>
    <s v="CA"/>
    <n v="94217"/>
    <x v="0"/>
    <s v="NA"/>
    <s v="Hirano"/>
    <s v="Juri"/>
    <s v="Medium"/>
  </r>
  <r>
    <n v="10210"/>
    <n v="27"/>
    <n v="98.48"/>
    <n v="9"/>
    <x v="1499"/>
    <d v="2004-01-12T00:00:00"/>
    <s v="Shipped"/>
    <n v="1"/>
    <n v="1"/>
    <x v="1"/>
    <x v="4"/>
    <n v="109"/>
    <s v="S24_1785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4"/>
    <n v="100"/>
    <n v="11"/>
    <x v="1500"/>
    <d v="2004-02-20T00:00:00"/>
    <s v="Shipped"/>
    <n v="1"/>
    <n v="2"/>
    <x v="1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3"/>
    <n v="96.29"/>
    <n v="5"/>
    <x v="1501"/>
    <d v="2004-04-02T00:00:00"/>
    <s v="Shipped"/>
    <n v="2"/>
    <n v="4"/>
    <x v="1"/>
    <x v="4"/>
    <n v="109"/>
    <s v="S24_1785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88.63"/>
    <n v="6"/>
    <x v="1502"/>
    <d v="2004-05-11T00:00:00"/>
    <s v="Shipped"/>
    <n v="2"/>
    <n v="5"/>
    <x v="1"/>
    <x v="4"/>
    <n v="109"/>
    <s v="S24_1785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34"/>
    <n v="97.38"/>
    <n v="1"/>
    <x v="1503"/>
    <d v="2004-06-24T00:00:00"/>
    <s v="Cancelled"/>
    <n v="2"/>
    <n v="6"/>
    <x v="1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25"/>
    <n v="95.2"/>
    <n v="11"/>
    <x v="1504"/>
    <d v="2004-07-23T00:00:00"/>
    <s v="Shipped"/>
    <n v="3"/>
    <n v="7"/>
    <x v="1"/>
    <x v="4"/>
    <n v="109"/>
    <s v="S24_1785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2"/>
    <n v="100"/>
    <n v="3"/>
    <x v="1505"/>
    <d v="2004-08-21T00:00:00"/>
    <s v="Shipped"/>
    <n v="3"/>
    <n v="8"/>
    <x v="1"/>
    <x v="4"/>
    <n v="109"/>
    <s v="S24_1785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32"/>
    <n v="100"/>
    <n v="6"/>
    <x v="1506"/>
    <d v="2004-09-16T00:00:00"/>
    <s v="Shipped"/>
    <n v="3"/>
    <n v="9"/>
    <x v="1"/>
    <x v="4"/>
    <n v="109"/>
    <s v="S24_1785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9"/>
    <x v="1507"/>
    <d v="2004-10-15T00:00:00"/>
    <s v="Shipped"/>
    <n v="4"/>
    <n v="10"/>
    <x v="1"/>
    <x v="4"/>
    <n v="109"/>
    <s v="S24_1785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5"/>
    <n v="100"/>
    <n v="1"/>
    <x v="1508"/>
    <d v="2004-11-01T00:00:00"/>
    <s v="Shipped"/>
    <n v="4"/>
    <n v="11"/>
    <x v="1"/>
    <x v="4"/>
    <n v="109"/>
    <s v="S24_1785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7"/>
    <n v="87.54"/>
    <n v="14"/>
    <x v="1509"/>
    <d v="2004-11-12T00:00:00"/>
    <s v="Shipped"/>
    <n v="4"/>
    <n v="11"/>
    <x v="1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21"/>
    <n v="50.65"/>
    <n v="7"/>
    <x v="1510"/>
    <d v="2004-11-23T00:00:00"/>
    <s v="Shipped"/>
    <n v="4"/>
    <n v="11"/>
    <x v="1"/>
    <x v="4"/>
    <n v="109"/>
    <s v="S24_1785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3"/>
    <n v="28"/>
    <n v="71.73"/>
    <n v="2"/>
    <x v="1511"/>
    <d v="2004-12-04T00:00:00"/>
    <s v="Shipped"/>
    <n v="4"/>
    <n v="12"/>
    <x v="1"/>
    <x v="4"/>
    <n v="109"/>
    <s v="S24_1785"/>
    <s v="Gift Ideas Corp."/>
    <n v="2035554407"/>
    <s v="2440 Pompton St."/>
    <m/>
    <s v="Glendale"/>
    <s v="CT"/>
    <n v="97561"/>
    <x v="0"/>
    <s v="NA"/>
    <s v="Lewis"/>
    <s v="Dan"/>
    <s v="Small"/>
  </r>
  <r>
    <n v="10374"/>
    <n v="46"/>
    <n v="94.1"/>
    <n v="3"/>
    <x v="1512"/>
    <d v="2005-02-02T00:00:00"/>
    <s v="Shipped"/>
    <n v="1"/>
    <n v="2"/>
    <x v="2"/>
    <x v="4"/>
    <n v="109"/>
    <s v="S24_1785"/>
    <s v="Australian Gift Network, Co"/>
    <s v="61-7-3844-6555"/>
    <s v="31 Duncan St. West End"/>
    <m/>
    <s v="South Brisbane"/>
    <s v="Queensland"/>
    <n v="4101"/>
    <x v="3"/>
    <s v="APAC"/>
    <s v="Calaghan"/>
    <s v="Tony"/>
    <s v="Medium"/>
  </r>
  <r>
    <n v="10386"/>
    <n v="33"/>
    <n v="41.71"/>
    <n v="11"/>
    <x v="1513"/>
    <d v="2005-03-01T00:00:00"/>
    <s v="Resolved"/>
    <n v="1"/>
    <n v="3"/>
    <x v="2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43"/>
    <n v="100"/>
    <n v="16"/>
    <x v="1514"/>
    <d v="2005-03-30T00:00:00"/>
    <s v="Shipped"/>
    <n v="1"/>
    <n v="3"/>
    <x v="2"/>
    <x v="4"/>
    <n v="109"/>
    <s v="S24_1785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38"/>
    <n v="96.29"/>
    <n v="5"/>
    <x v="1515"/>
    <d v="2005-04-03T00:00:00"/>
    <s v="On Hold"/>
    <n v="2"/>
    <n v="4"/>
    <x v="2"/>
    <x v="4"/>
    <n v="109"/>
    <s v="S24_1785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7"/>
    <n v="88.63"/>
    <n v="6"/>
    <x v="1516"/>
    <d v="2005-05-10T00:00:00"/>
    <s v="Shipped"/>
    <n v="2"/>
    <n v="5"/>
    <x v="2"/>
    <x v="4"/>
    <n v="109"/>
    <s v="S24_1785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1"/>
    <n v="45"/>
    <n v="31.2"/>
    <n v="3"/>
    <x v="1517"/>
    <d v="2003-01-09T00:00:00"/>
    <s v="Shipped"/>
    <n v="1"/>
    <n v="1"/>
    <x v="0"/>
    <x v="3"/>
    <n v="33"/>
    <s v="S24_1937"/>
    <s v="Blauer See Auto, Co."/>
    <s v="+49 69 66 90 2555"/>
    <s v="Lyonerstr. 34"/>
    <m/>
    <s v="Frankfurt"/>
    <m/>
    <n v="60528"/>
    <x v="16"/>
    <s v="EMEA"/>
    <s v="Keitel"/>
    <s v="Roland"/>
    <s v="Small"/>
  </r>
  <r>
    <n v="10110"/>
    <n v="20"/>
    <n v="35.51"/>
    <n v="3"/>
    <x v="1518"/>
    <d v="2003-03-18T00:00:00"/>
    <s v="Shipped"/>
    <n v="1"/>
    <n v="3"/>
    <x v="0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5"/>
    <n v="37.840000000000003"/>
    <n v="2"/>
    <x v="1519"/>
    <d v="2003-05-21T00:00:00"/>
    <s v="Shipped"/>
    <n v="2"/>
    <n v="5"/>
    <x v="0"/>
    <x v="3"/>
    <n v="33"/>
    <s v="S24_1937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36"/>
    <n v="33.19"/>
    <n v="7"/>
    <x v="1520"/>
    <d v="2003-09-12T00:00:00"/>
    <s v="Shipped"/>
    <n v="3"/>
    <n v="9"/>
    <x v="0"/>
    <x v="3"/>
    <n v="33"/>
    <s v="S24_1937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37"/>
    <n v="27.22"/>
    <n v="5"/>
    <x v="1521"/>
    <d v="2003-10-18T00:00:00"/>
    <s v="Shipped"/>
    <n v="4"/>
    <n v="10"/>
    <x v="0"/>
    <x v="3"/>
    <n v="33"/>
    <s v="S24_1937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31"/>
    <n v="31.53"/>
    <n v="9"/>
    <x v="1522"/>
    <d v="2003-11-05T00:00:00"/>
    <s v="Shipped"/>
    <n v="4"/>
    <n v="11"/>
    <x v="0"/>
    <x v="3"/>
    <n v="33"/>
    <s v="S24_1937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9"/>
    <n v="36.840000000000003"/>
    <n v="6"/>
    <x v="1523"/>
    <d v="2003-11-12T00:00:00"/>
    <s v="Shipped"/>
    <n v="4"/>
    <n v="11"/>
    <x v="0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6"/>
    <n v="29.21"/>
    <n v="10"/>
    <x v="1524"/>
    <d v="2003-11-21T00:00:00"/>
    <s v="Shipped"/>
    <n v="4"/>
    <n v="11"/>
    <x v="0"/>
    <x v="3"/>
    <n v="33"/>
    <s v="S24_1937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32"/>
    <n v="37.17"/>
    <n v="5"/>
    <x v="1525"/>
    <d v="2003-12-03T00:00:00"/>
    <s v="Shipped"/>
    <n v="4"/>
    <n v="12"/>
    <x v="0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s v="Small"/>
  </r>
  <r>
    <n v="10214"/>
    <n v="20"/>
    <n v="34.19"/>
    <n v="3"/>
    <x v="1526"/>
    <d v="2004-01-26T00:00:00"/>
    <s v="Shipped"/>
    <n v="1"/>
    <n v="1"/>
    <x v="1"/>
    <x v="3"/>
    <n v="33"/>
    <s v="S24_1937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42"/>
    <n v="29.21"/>
    <n v="6"/>
    <x v="1527"/>
    <d v="2004-03-02T00:00:00"/>
    <s v="Shipped"/>
    <n v="1"/>
    <n v="3"/>
    <x v="1"/>
    <x v="3"/>
    <n v="33"/>
    <s v="S24_1937"/>
    <s v="Saveley &amp; Henriot, Co."/>
    <s v="78.32.5555"/>
    <s v="2, rue du Commerce"/>
    <m/>
    <s v="Lyon"/>
    <m/>
    <n v="69004"/>
    <x v="1"/>
    <s v="EMEA"/>
    <s v="Saveley"/>
    <s v="Mary"/>
    <s v="Small"/>
  </r>
  <r>
    <n v="10243"/>
    <n v="33"/>
    <n v="29.54"/>
    <n v="1"/>
    <x v="1528"/>
    <d v="2004-04-26T00:00:00"/>
    <s v="Shipped"/>
    <n v="2"/>
    <n v="4"/>
    <x v="1"/>
    <x v="3"/>
    <n v="33"/>
    <s v="S24_1937"/>
    <s v="Diecast Collectables"/>
    <n v="6175552555"/>
    <s v="6251 Ingle Ln."/>
    <m/>
    <s v="Boston"/>
    <s v="MA"/>
    <n v="51003"/>
    <x v="0"/>
    <s v="NA"/>
    <s v="Franco"/>
    <s v="Valarie"/>
    <s v="Small"/>
  </r>
  <r>
    <n v="10280"/>
    <n v="20"/>
    <n v="28.88"/>
    <n v="12"/>
    <x v="1529"/>
    <d v="2004-08-17T00:00:00"/>
    <s v="Shipped"/>
    <n v="3"/>
    <n v="8"/>
    <x v="1"/>
    <x v="3"/>
    <n v="33"/>
    <s v="S24_1937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29"/>
    <n v="38.17"/>
    <n v="1"/>
    <x v="1530"/>
    <d v="2004-09-01T00:00:00"/>
    <s v="Shipped"/>
    <n v="3"/>
    <n v="9"/>
    <x v="1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4"/>
    <n v="23"/>
    <n v="30.2"/>
    <n v="16"/>
    <x v="1531"/>
    <d v="2004-10-11T00:00:00"/>
    <s v="Shipped"/>
    <n v="4"/>
    <n v="10"/>
    <x v="1"/>
    <x v="3"/>
    <n v="33"/>
    <s v="S24_1937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39"/>
    <n v="29.54"/>
    <n v="13"/>
    <x v="1532"/>
    <d v="2004-10-21T00:00:00"/>
    <s v="Shipped"/>
    <n v="4"/>
    <n v="10"/>
    <x v="1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20"/>
    <n v="100"/>
    <n v="3"/>
    <x v="1533"/>
    <d v="2004-11-04T00:00:00"/>
    <s v="Shipped"/>
    <n v="4"/>
    <n v="11"/>
    <x v="1"/>
    <x v="3"/>
    <n v="33"/>
    <s v="S24_1937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332"/>
    <n v="45"/>
    <n v="81.91"/>
    <n v="6"/>
    <x v="1534"/>
    <d v="2004-11-17T00:00:00"/>
    <s v="Shipped"/>
    <n v="4"/>
    <n v="11"/>
    <x v="1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s v="Medium"/>
  </r>
  <r>
    <n v="10344"/>
    <n v="20"/>
    <n v="35.18"/>
    <n v="6"/>
    <x v="1535"/>
    <d v="2004-11-25T00:00:00"/>
    <s v="Shipped"/>
    <n v="4"/>
    <n v="11"/>
    <x v="1"/>
    <x v="3"/>
    <n v="33"/>
    <s v="S24_1937"/>
    <s v="Marseille Mini Autos"/>
    <s v="91.24.4555"/>
    <s v="12, rue des Bouchers"/>
    <m/>
    <s v="Marseille"/>
    <m/>
    <n v="13008"/>
    <x v="1"/>
    <s v="EMEA"/>
    <s v="Lebihan"/>
    <s v="Laurence"/>
    <s v="Small"/>
  </r>
  <r>
    <n v="10356"/>
    <n v="48"/>
    <n v="100"/>
    <n v="5"/>
    <x v="1536"/>
    <d v="2004-12-09T00:00:00"/>
    <s v="Shipped"/>
    <n v="4"/>
    <n v="12"/>
    <x v="1"/>
    <x v="3"/>
    <n v="33"/>
    <s v="S24_1937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367"/>
    <n v="23"/>
    <n v="36.29"/>
    <n v="13"/>
    <x v="1537"/>
    <d v="2005-01-12T00:00:00"/>
    <s v="Resolved"/>
    <n v="1"/>
    <n v="1"/>
    <x v="2"/>
    <x v="3"/>
    <n v="33"/>
    <s v="S24_1937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32"/>
    <n v="70.56"/>
    <n v="4"/>
    <x v="966"/>
    <d v="2005-02-16T00:00:00"/>
    <s v="Shipped"/>
    <n v="1"/>
    <n v="2"/>
    <x v="2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33"/>
    <n v="100"/>
    <n v="8"/>
    <x v="1538"/>
    <d v="2005-03-09T00:00:00"/>
    <s v="Shipped"/>
    <n v="1"/>
    <n v="3"/>
    <x v="2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s v="Large"/>
  </r>
  <r>
    <n v="10409"/>
    <n v="61"/>
    <n v="29.54"/>
    <n v="1"/>
    <x v="1539"/>
    <d v="2005-04-23T00:00:00"/>
    <s v="Shipped"/>
    <n v="2"/>
    <n v="4"/>
    <x v="2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420"/>
    <n v="45"/>
    <n v="26.88"/>
    <n v="1"/>
    <x v="1540"/>
    <d v="2005-05-29T00:00:00"/>
    <s v="In Process"/>
    <n v="2"/>
    <n v="5"/>
    <x v="2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7"/>
    <n v="38"/>
    <n v="83.03"/>
    <n v="7"/>
    <x v="1541"/>
    <d v="2003-02-24T00:00:00"/>
    <s v="Shipped"/>
    <n v="1"/>
    <n v="2"/>
    <x v="0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s v="Medium"/>
  </r>
  <r>
    <n v="10120"/>
    <n v="34"/>
    <n v="83.79"/>
    <n v="5"/>
    <x v="1542"/>
    <d v="2003-04-29T00:00:00"/>
    <s v="Shipped"/>
    <n v="2"/>
    <n v="4"/>
    <x v="0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4"/>
    <n v="43"/>
    <n v="83.03"/>
    <n v="7"/>
    <x v="1543"/>
    <d v="2003-07-01T00:00:00"/>
    <s v="Shipped"/>
    <n v="3"/>
    <n v="7"/>
    <x v="0"/>
    <x v="0"/>
    <n v="76"/>
    <s v="S24_2000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145"/>
    <n v="47"/>
    <n v="83.03"/>
    <n v="11"/>
    <x v="1544"/>
    <d v="2003-08-25T00:00:00"/>
    <s v="Shipped"/>
    <n v="3"/>
    <n v="8"/>
    <x v="0"/>
    <x v="0"/>
    <n v="76"/>
    <s v="S24_2000"/>
    <s v="Toys4GrownUps.com"/>
    <n v="6265557265"/>
    <s v="78934 Hillside Dr."/>
    <m/>
    <s v="Pasadena"/>
    <s v="CA"/>
    <n v="90003"/>
    <x v="0"/>
    <s v="NA"/>
    <s v="Young"/>
    <s v="Julie"/>
    <s v="Medium"/>
  </r>
  <r>
    <n v="10158"/>
    <n v="22"/>
    <n v="67.03"/>
    <n v="1"/>
    <x v="1545"/>
    <d v="2003-10-10T00:00:00"/>
    <s v="Shipped"/>
    <n v="4"/>
    <n v="10"/>
    <x v="0"/>
    <x v="0"/>
    <n v="76"/>
    <s v="S24_2000"/>
    <s v="Baane Mini Imports"/>
    <s v="07-98 9555"/>
    <s v="Erling Skakkes gate 78"/>
    <m/>
    <s v="Stavern"/>
    <m/>
    <n v="4110"/>
    <x v="2"/>
    <s v="EMEA"/>
    <s v="Bergulfsen"/>
    <s v="Jonas"/>
    <s v="Small"/>
  </r>
  <r>
    <n v="10168"/>
    <n v="29"/>
    <n v="75.41"/>
    <n v="6"/>
    <x v="1546"/>
    <d v="2003-10-28T00:00:00"/>
    <s v="Shipped"/>
    <n v="4"/>
    <n v="10"/>
    <x v="0"/>
    <x v="0"/>
    <n v="76"/>
    <s v="S24_2000"/>
    <s v="Technics Stores Inc."/>
    <n v="6505556809"/>
    <s v="9408 Furth Circle"/>
    <m/>
    <s v="Burlingame"/>
    <s v="CA"/>
    <n v="94217"/>
    <x v="0"/>
    <s v="NA"/>
    <s v="Hirano"/>
    <s v="Juri"/>
    <s v="Small"/>
  </r>
  <r>
    <n v="10180"/>
    <n v="28"/>
    <n v="68.55"/>
    <n v="14"/>
    <x v="1547"/>
    <d v="2003-11-11T00:00:00"/>
    <s v="Shipped"/>
    <n v="4"/>
    <n v="11"/>
    <x v="0"/>
    <x v="0"/>
    <n v="76"/>
    <s v="S24_2000"/>
    <s v="Daedalus Designs Imports"/>
    <s v="20.16.1555"/>
    <s v="184, chausse de Tournai"/>
    <m/>
    <s v="Lille"/>
    <m/>
    <n v="59000"/>
    <x v="1"/>
    <s v="EMEA"/>
    <s v="Rance"/>
    <s v="Martine"/>
    <s v="Small"/>
  </r>
  <r>
    <n v="10188"/>
    <n v="40"/>
    <n v="91.4"/>
    <n v="6"/>
    <x v="1548"/>
    <d v="2003-11-18T00:00:00"/>
    <s v="Shipped"/>
    <n v="4"/>
    <n v="11"/>
    <x v="0"/>
    <x v="0"/>
    <n v="76"/>
    <s v="S24_2000"/>
    <s v="Herkku Gifts"/>
    <s v="+47 2267 3215"/>
    <s v="Drammen 121, PR 744 Sentrum"/>
    <m/>
    <s v="Bergen"/>
    <m/>
    <s v="N 5804"/>
    <x v="2"/>
    <s v="EMEA"/>
    <s v="Oeztan"/>
    <s v="Veysel"/>
    <s v="Medium"/>
  </r>
  <r>
    <n v="10201"/>
    <n v="25"/>
    <n v="73.88"/>
    <n v="7"/>
    <x v="1549"/>
    <d v="2003-12-01T00:00:00"/>
    <s v="Shipped"/>
    <n v="4"/>
    <n v="12"/>
    <x v="0"/>
    <x v="0"/>
    <n v="76"/>
    <s v="S24_2000"/>
    <s v="Mini Wheels Co."/>
    <n v="6505555787"/>
    <s v="5557 North Pendale Street"/>
    <m/>
    <s v="San Francisco"/>
    <s v="CA"/>
    <m/>
    <x v="0"/>
    <s v="NA"/>
    <s v="Murphy"/>
    <s v="Julie"/>
    <s v="Small"/>
  </r>
  <r>
    <n v="10210"/>
    <n v="30"/>
    <n v="61.7"/>
    <n v="4"/>
    <x v="1550"/>
    <d v="2004-01-12T00:00:00"/>
    <s v="Shipped"/>
    <n v="1"/>
    <n v="1"/>
    <x v="1"/>
    <x v="0"/>
    <n v="76"/>
    <s v="S24_2000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38"/>
    <n v="69.31"/>
    <n v="6"/>
    <x v="1551"/>
    <d v="2004-02-20T00:00:00"/>
    <s v="Shipped"/>
    <n v="1"/>
    <n v="2"/>
    <x v="1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6"/>
    <n v="36"/>
    <n v="87.6"/>
    <n v="3"/>
    <x v="1552"/>
    <d v="2004-04-03T00:00:00"/>
    <s v="Shipped"/>
    <n v="2"/>
    <n v="4"/>
    <x v="1"/>
    <x v="0"/>
    <n v="76"/>
    <s v="S24_200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250"/>
    <n v="32"/>
    <n v="87.6"/>
    <n v="1"/>
    <x v="1553"/>
    <d v="2004-05-11T00:00:00"/>
    <s v="Shipped"/>
    <n v="2"/>
    <n v="5"/>
    <x v="1"/>
    <x v="0"/>
    <n v="76"/>
    <s v="S24_2000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37"/>
    <n v="62.46"/>
    <n v="7"/>
    <x v="1554"/>
    <d v="2004-06-28T00:00:00"/>
    <s v="Shipped"/>
    <n v="2"/>
    <n v="6"/>
    <x v="1"/>
    <x v="0"/>
    <n v="76"/>
    <s v="S24_2000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30"/>
    <n v="79.98"/>
    <n v="6"/>
    <x v="1555"/>
    <d v="2004-07-23T00:00:00"/>
    <s v="Shipped"/>
    <n v="3"/>
    <n v="7"/>
    <x v="1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9"/>
    <n v="70.08"/>
    <n v="11"/>
    <x v="1556"/>
    <d v="2004-08-27T00:00:00"/>
    <s v="Shipped"/>
    <n v="3"/>
    <n v="8"/>
    <x v="1"/>
    <x v="0"/>
    <n v="76"/>
    <s v="S24_200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7"/>
    <n v="32"/>
    <n v="65.510000000000005"/>
    <n v="1"/>
    <x v="1557"/>
    <d v="2004-09-16T00:00:00"/>
    <s v="Shipped"/>
    <n v="3"/>
    <n v="9"/>
    <x v="1"/>
    <x v="0"/>
    <n v="76"/>
    <s v="S24_2000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7"/>
    <n v="63.22"/>
    <n v="4"/>
    <x v="1558"/>
    <d v="2004-10-15T00:00:00"/>
    <s v="Shipped"/>
    <n v="4"/>
    <n v="10"/>
    <x v="1"/>
    <x v="0"/>
    <n v="76"/>
    <s v="S24_2000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26"/>
    <n v="86.83"/>
    <n v="6"/>
    <x v="1559"/>
    <d v="2004-11-02T00:00:00"/>
    <s v="Shipped"/>
    <n v="4"/>
    <n v="11"/>
    <x v="1"/>
    <x v="0"/>
    <n v="76"/>
    <s v="S24_2000"/>
    <s v="Diecast Classics Inc."/>
    <n v="2155551555"/>
    <s v="7586 Pompton St."/>
    <m/>
    <s v="Allentown"/>
    <s v="PA"/>
    <n v="70267"/>
    <x v="0"/>
    <s v="NA"/>
    <s v="Yu"/>
    <s v="Kyung"/>
    <s v="Small"/>
  </r>
  <r>
    <n v="10329"/>
    <n v="37"/>
    <n v="94.43"/>
    <n v="4"/>
    <x v="1560"/>
    <d v="2004-11-15T00:00:00"/>
    <s v="Shipped"/>
    <n v="4"/>
    <n v="11"/>
    <x v="1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s v="Medium"/>
  </r>
  <r>
    <n v="10340"/>
    <n v="55"/>
    <n v="79.98"/>
    <n v="8"/>
    <x v="1561"/>
    <d v="2004-11-24T00:00:00"/>
    <s v="Shipped"/>
    <n v="4"/>
    <n v="11"/>
    <x v="1"/>
    <x v="0"/>
    <n v="76"/>
    <s v="S24_200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63"/>
    <n v="21"/>
    <n v="100"/>
    <n v="8"/>
    <x v="1562"/>
    <d v="2005-01-06T00:00:00"/>
    <s v="Shipped"/>
    <n v="1"/>
    <n v="1"/>
    <x v="2"/>
    <x v="0"/>
    <n v="76"/>
    <s v="S24_200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5"/>
    <n v="23"/>
    <n v="100"/>
    <n v="9"/>
    <x v="1563"/>
    <d v="2005-02-03T00:00:00"/>
    <s v="Shipped"/>
    <n v="1"/>
    <n v="2"/>
    <x v="2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s v="Small"/>
  </r>
  <r>
    <n v="10389"/>
    <n v="49"/>
    <n v="81.400000000000006"/>
    <n v="2"/>
    <x v="356"/>
    <d v="2005-03-03T00:00:00"/>
    <s v="Shipped"/>
    <n v="1"/>
    <n v="3"/>
    <x v="2"/>
    <x v="0"/>
    <n v="76"/>
    <s v="S24_2000"/>
    <s v="Scandinavian Gift Ideas"/>
    <s v="0695-34 6555"/>
    <s v="?kergatan 24"/>
    <m/>
    <s v="Boras"/>
    <m/>
    <s v="S-844 67"/>
    <x v="8"/>
    <s v="EMEA"/>
    <s v="Larsson"/>
    <s v="Maria"/>
    <s v="Medium"/>
  </r>
  <r>
    <n v="10402"/>
    <n v="59"/>
    <n v="87.6"/>
    <n v="3"/>
    <x v="1564"/>
    <d v="2005-04-07T00:00:00"/>
    <s v="Shipped"/>
    <n v="2"/>
    <n v="4"/>
    <x v="2"/>
    <x v="0"/>
    <n v="76"/>
    <s v="S24_2000"/>
    <s v="Auto Canal Petit"/>
    <s v="(1) 47.55.6555"/>
    <s v="25, rue Lauriston"/>
    <m/>
    <s v="Paris"/>
    <m/>
    <n v="75016"/>
    <x v="1"/>
    <s v="EMEA"/>
    <s v="Perrier"/>
    <s v="Dominique"/>
    <s v="Medium"/>
  </r>
  <r>
    <n v="10416"/>
    <n v="32"/>
    <n v="87.6"/>
    <n v="1"/>
    <x v="1553"/>
    <d v="2005-05-10T00:00:00"/>
    <s v="Shipped"/>
    <n v="2"/>
    <n v="5"/>
    <x v="2"/>
    <x v="0"/>
    <n v="76"/>
    <s v="S24_2000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43"/>
    <n v="100"/>
    <n v="9"/>
    <x v="1565"/>
    <d v="2003-02-11T00:00:00"/>
    <s v="Shipped"/>
    <n v="1"/>
    <n v="2"/>
    <x v="0"/>
    <x v="5"/>
    <n v="122"/>
    <s v="S24_2011"/>
    <s v="Danish Wholesale Imports"/>
    <s v="31 12 3555"/>
    <s v="Vinb'ltet 34"/>
    <m/>
    <s v="Kobenhavn"/>
    <m/>
    <n v="1734"/>
    <x v="13"/>
    <s v="EMEA"/>
    <s v="Petersen"/>
    <s v="Jytte"/>
    <s v="Medium"/>
  </r>
  <r>
    <n v="10117"/>
    <n v="41"/>
    <n v="100"/>
    <n v="3"/>
    <x v="1566"/>
    <d v="2003-04-16T00:00:00"/>
    <s v="Shipped"/>
    <n v="2"/>
    <n v="4"/>
    <x v="0"/>
    <x v="5"/>
    <n v="122"/>
    <s v="S24_2011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9"/>
    <n v="45"/>
    <n v="100"/>
    <n v="9"/>
    <x v="1567"/>
    <d v="2003-06-12T00:00:00"/>
    <s v="Shipped"/>
    <n v="2"/>
    <n v="6"/>
    <x v="0"/>
    <x v="5"/>
    <n v="122"/>
    <s v="S24_2011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33"/>
    <n v="100"/>
    <n v="6"/>
    <x v="1568"/>
    <d v="2003-08-08T00:00:00"/>
    <s v="Shipped"/>
    <n v="3"/>
    <n v="8"/>
    <x v="0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40"/>
    <n v="100"/>
    <n v="5"/>
    <x v="1569"/>
    <d v="2003-09-28T00:00:00"/>
    <s v="Shipped"/>
    <n v="3"/>
    <n v="9"/>
    <x v="0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33"/>
    <n v="100"/>
    <n v="16"/>
    <x v="1570"/>
    <d v="2003-10-23T00:00:00"/>
    <s v="Cancelled"/>
    <n v="4"/>
    <n v="10"/>
    <x v="0"/>
    <x v="5"/>
    <n v="122"/>
    <s v="S24_2011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50"/>
    <n v="100"/>
    <n v="7"/>
    <x v="1571"/>
    <d v="2003-11-07T00:00:00"/>
    <s v="Shipped"/>
    <n v="4"/>
    <n v="11"/>
    <x v="0"/>
    <x v="5"/>
    <n v="122"/>
    <s v="S24_201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0"/>
    <n v="100"/>
    <n v="7"/>
    <x v="1572"/>
    <d v="2003-11-14T00:00:00"/>
    <s v="Shipped"/>
    <n v="4"/>
    <n v="11"/>
    <x v="0"/>
    <x v="5"/>
    <n v="122"/>
    <s v="S24_2011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41"/>
    <n v="100"/>
    <n v="13"/>
    <x v="1573"/>
    <d v="2003-11-26T00:00:00"/>
    <s v="Shipped"/>
    <n v="4"/>
    <n v="11"/>
    <x v="0"/>
    <x v="5"/>
    <n v="122"/>
    <s v="S24_2011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35"/>
    <n v="100"/>
    <n v="7"/>
    <x v="1574"/>
    <d v="2004-01-02T00:00:00"/>
    <s v="Shipped"/>
    <n v="1"/>
    <n v="1"/>
    <x v="1"/>
    <x v="5"/>
    <n v="122"/>
    <s v="S24_2011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49"/>
    <n v="100"/>
    <n v="1"/>
    <x v="1575"/>
    <d v="2004-02-18T00:00:00"/>
    <s v="Shipped"/>
    <n v="1"/>
    <n v="2"/>
    <x v="1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s v="Medium"/>
  </r>
  <r>
    <n v="10232"/>
    <n v="46"/>
    <n v="100"/>
    <n v="4"/>
    <x v="1576"/>
    <d v="2004-03-20T00:00:00"/>
    <s v="Shipped"/>
    <n v="1"/>
    <n v="3"/>
    <x v="1"/>
    <x v="5"/>
    <n v="122"/>
    <s v="S24_2011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48"/>
    <n v="100"/>
    <n v="10"/>
    <x v="1577"/>
    <d v="2004-05-07T00:00:00"/>
    <s v="Cancelled"/>
    <n v="2"/>
    <n v="5"/>
    <x v="1"/>
    <x v="5"/>
    <n v="122"/>
    <s v="S24_2011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36"/>
    <n v="100"/>
    <n v="8"/>
    <x v="1578"/>
    <d v="2004-06-17T00:00:00"/>
    <s v="Shipped"/>
    <n v="2"/>
    <n v="6"/>
    <x v="1"/>
    <x v="5"/>
    <n v="122"/>
    <s v="S24_2011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22"/>
    <n v="100"/>
    <n v="11"/>
    <x v="1579"/>
    <d v="2004-07-21T00:00:00"/>
    <s v="Shipped"/>
    <n v="3"/>
    <n v="7"/>
    <x v="1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2"/>
    <n v="100"/>
    <n v="13"/>
    <x v="1580"/>
    <d v="2004-08-20T00:00:00"/>
    <s v="Shipped"/>
    <n v="3"/>
    <n v="8"/>
    <x v="1"/>
    <x v="5"/>
    <n v="122"/>
    <s v="S24_2011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3"/>
    <n v="21"/>
    <n v="100"/>
    <n v="2"/>
    <x v="1581"/>
    <d v="2004-09-09T00:00:00"/>
    <s v="Shipped"/>
    <n v="3"/>
    <n v="9"/>
    <x v="1"/>
    <x v="5"/>
    <n v="122"/>
    <s v="S24_2011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29"/>
    <n v="100"/>
    <n v="7"/>
    <x v="1582"/>
    <d v="2004-10-14T00:00:00"/>
    <s v="Shipped"/>
    <n v="4"/>
    <n v="10"/>
    <x v="1"/>
    <x v="5"/>
    <n v="122"/>
    <s v="S24_2011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5"/>
    <n v="100"/>
    <n v="6"/>
    <x v="1583"/>
    <d v="2004-10-29T00:00:00"/>
    <s v="Shipped"/>
    <n v="4"/>
    <n v="10"/>
    <x v="1"/>
    <x v="5"/>
    <n v="122"/>
    <s v="S24_2011"/>
    <s v="La Rochelle Gifts"/>
    <s v="40.67.8555"/>
    <s v="67, rue des Cinquante Otages"/>
    <m/>
    <s v="Nantes"/>
    <m/>
    <n v="44000"/>
    <x v="1"/>
    <s v="EMEA"/>
    <s v="Labrune"/>
    <s v="Janine"/>
    <s v="Medium"/>
  </r>
  <r>
    <n v="10326"/>
    <n v="41"/>
    <n v="100"/>
    <n v="4"/>
    <x v="1584"/>
    <d v="2004-11-09T00:00:00"/>
    <s v="Shipped"/>
    <n v="4"/>
    <n v="11"/>
    <x v="1"/>
    <x v="5"/>
    <n v="122"/>
    <s v="S24_2011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7"/>
    <n v="29"/>
    <n v="71.97"/>
    <n v="4"/>
    <x v="1585"/>
    <d v="2004-11-21T00:00:00"/>
    <s v="Shipped"/>
    <n v="4"/>
    <n v="11"/>
    <x v="1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4"/>
    <n v="50.33"/>
    <n v="7"/>
    <x v="1586"/>
    <d v="2004-12-02T00:00:00"/>
    <s v="Shipped"/>
    <n v="4"/>
    <n v="12"/>
    <x v="1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37"/>
    <n v="100"/>
    <n v="8"/>
    <x v="1587"/>
    <d v="2005-01-26T00:00:00"/>
    <s v="Shipped"/>
    <n v="1"/>
    <n v="1"/>
    <x v="2"/>
    <x v="5"/>
    <n v="122"/>
    <s v="S24_201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4"/>
    <n v="28"/>
    <n v="80.540000000000006"/>
    <n v="3"/>
    <x v="1588"/>
    <d v="2005-02-23T00:00:00"/>
    <s v="Shipped"/>
    <n v="1"/>
    <n v="2"/>
    <x v="2"/>
    <x v="5"/>
    <n v="122"/>
    <s v="S24_2011"/>
    <s v="Corporate Gift Ideas Co."/>
    <n v="6505551386"/>
    <s v="7734 Strong St."/>
    <m/>
    <s v="San Francisco"/>
    <s v="CA"/>
    <m/>
    <x v="0"/>
    <s v="NA"/>
    <s v="Brown"/>
    <s v="Julie"/>
    <s v="Small"/>
  </r>
  <r>
    <n v="10396"/>
    <n v="49"/>
    <n v="100"/>
    <n v="6"/>
    <x v="1589"/>
    <d v="2005-03-23T00:00:00"/>
    <s v="Shipped"/>
    <n v="1"/>
    <n v="3"/>
    <x v="2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4"/>
    <n v="23"/>
    <n v="100"/>
    <n v="10"/>
    <x v="1590"/>
    <d v="2005-05-06T00:00:00"/>
    <s v="On Hold"/>
    <n v="2"/>
    <n v="5"/>
    <x v="2"/>
    <x v="5"/>
    <n v="122"/>
    <s v="S24_2011"/>
    <s v="Gifts4AllAges.com"/>
    <n v="6175559555"/>
    <s v="8616 Spinnaker Dr."/>
    <m/>
    <s v="Boston"/>
    <s v="MA"/>
    <n v="51003"/>
    <x v="0"/>
    <s v="NA"/>
    <s v="Yoshido"/>
    <s v="Juri"/>
    <s v="Medium"/>
  </r>
  <r>
    <n v="10101"/>
    <n v="46"/>
    <n v="53.76"/>
    <n v="2"/>
    <x v="1591"/>
    <d v="2003-01-09T00:00:00"/>
    <s v="Shipped"/>
    <n v="1"/>
    <n v="1"/>
    <x v="0"/>
    <x v="3"/>
    <n v="44"/>
    <s v="S24_2022"/>
    <s v="Blauer See Auto, Co."/>
    <s v="+49 69 66 90 2555"/>
    <s v="Lyonerstr. 34"/>
    <m/>
    <s v="Frankfurt"/>
    <m/>
    <n v="60528"/>
    <x v="16"/>
    <s v="EMEA"/>
    <s v="Keitel"/>
    <s v="Roland"/>
    <s v="Small"/>
  </r>
  <r>
    <n v="10110"/>
    <n v="39"/>
    <n v="44.35"/>
    <n v="2"/>
    <x v="1592"/>
    <d v="2003-03-18T00:00:00"/>
    <s v="Shipped"/>
    <n v="1"/>
    <n v="3"/>
    <x v="0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22"/>
    <n v="45.25"/>
    <n v="1"/>
    <x v="1593"/>
    <d v="2003-05-21T00:00:00"/>
    <s v="Shipped"/>
    <n v="2"/>
    <n v="5"/>
    <x v="0"/>
    <x v="3"/>
    <n v="44"/>
    <s v="S24_2022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49"/>
    <n v="49.28"/>
    <n v="6"/>
    <x v="1594"/>
    <d v="2003-09-12T00:00:00"/>
    <s v="Shipped"/>
    <n v="3"/>
    <n v="9"/>
    <x v="0"/>
    <x v="3"/>
    <n v="44"/>
    <s v="S24_2022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43"/>
    <n v="36.29"/>
    <n v="4"/>
    <x v="1595"/>
    <d v="2003-10-18T00:00:00"/>
    <s v="Shipped"/>
    <n v="4"/>
    <n v="10"/>
    <x v="0"/>
    <x v="3"/>
    <n v="44"/>
    <s v="S24_2022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27"/>
    <n v="41.22"/>
    <n v="8"/>
    <x v="1596"/>
    <d v="2003-11-05T00:00:00"/>
    <s v="Shipped"/>
    <n v="4"/>
    <n v="11"/>
    <x v="0"/>
    <x v="3"/>
    <n v="44"/>
    <s v="S24_2022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31"/>
    <n v="36.74"/>
    <n v="5"/>
    <x v="1597"/>
    <d v="2003-11-12T00:00:00"/>
    <s v="Shipped"/>
    <n v="4"/>
    <n v="11"/>
    <x v="0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0"/>
    <n v="50.62"/>
    <n v="9"/>
    <x v="1598"/>
    <d v="2003-11-21T00:00:00"/>
    <s v="Shipped"/>
    <n v="4"/>
    <n v="11"/>
    <x v="0"/>
    <x v="3"/>
    <n v="44"/>
    <s v="S24_2022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5"/>
    <n v="24"/>
    <n v="38.08"/>
    <n v="4"/>
    <x v="1599"/>
    <d v="2003-12-03T00:00:00"/>
    <s v="Shipped"/>
    <n v="4"/>
    <n v="12"/>
    <x v="0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s v="Small"/>
  </r>
  <r>
    <n v="10214"/>
    <n v="49"/>
    <n v="47.94"/>
    <n v="2"/>
    <x v="1600"/>
    <d v="2004-01-26T00:00:00"/>
    <s v="Shipped"/>
    <n v="1"/>
    <n v="1"/>
    <x v="1"/>
    <x v="3"/>
    <n v="44"/>
    <s v="S24_2022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4"/>
    <n v="48.38"/>
    <n v="5"/>
    <x v="1601"/>
    <d v="2004-03-02T00:00:00"/>
    <s v="Shipped"/>
    <n v="1"/>
    <n v="3"/>
    <x v="1"/>
    <x v="3"/>
    <n v="44"/>
    <s v="S24_2022"/>
    <s v="Saveley &amp; Henriot, Co."/>
    <s v="78.32.5555"/>
    <s v="2, rue du Commerce"/>
    <m/>
    <s v="Lyon"/>
    <m/>
    <n v="69004"/>
    <x v="1"/>
    <s v="EMEA"/>
    <s v="Saveley"/>
    <s v="Mary"/>
    <s v="Small"/>
  </r>
  <r>
    <n v="10244"/>
    <n v="39"/>
    <n v="45.25"/>
    <n v="9"/>
    <x v="1602"/>
    <d v="2004-04-29T00:00:00"/>
    <s v="Shipped"/>
    <n v="2"/>
    <n v="4"/>
    <x v="1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s v="Small"/>
  </r>
  <r>
    <n v="10255"/>
    <n v="37"/>
    <n v="45.7"/>
    <n v="2"/>
    <x v="1603"/>
    <d v="2004-06-04T00:00:00"/>
    <s v="Shipped"/>
    <n v="2"/>
    <n v="6"/>
    <x v="1"/>
    <x v="3"/>
    <n v="44"/>
    <s v="S24_2022"/>
    <s v="Mini Caravy"/>
    <s v="88.60.1555"/>
    <s v="24, place Kluber"/>
    <m/>
    <s v="Strasbourg"/>
    <m/>
    <n v="67000"/>
    <x v="1"/>
    <s v="EMEA"/>
    <s v="Citeaux"/>
    <s v="Frederique"/>
    <s v="Small"/>
  </r>
  <r>
    <n v="10280"/>
    <n v="45"/>
    <n v="47.49"/>
    <n v="11"/>
    <x v="1604"/>
    <d v="2004-08-17T00:00:00"/>
    <s v="Shipped"/>
    <n v="3"/>
    <n v="8"/>
    <x v="1"/>
    <x v="3"/>
    <n v="44"/>
    <s v="S24_2022"/>
    <s v="Amica Models &amp; Co."/>
    <s v="011-4988555"/>
    <s v="Via Monte Bianco 34"/>
    <m/>
    <s v="Torino"/>
    <m/>
    <n v="10100"/>
    <x v="12"/>
    <s v="EMEA"/>
    <s v="Accorti"/>
    <s v="Paolo"/>
    <s v="Small"/>
  </r>
  <r>
    <n v="10289"/>
    <n v="45"/>
    <n v="48.38"/>
    <n v="4"/>
    <x v="1605"/>
    <d v="2004-09-03T00:00:00"/>
    <s v="Shipped"/>
    <n v="3"/>
    <n v="9"/>
    <x v="1"/>
    <x v="3"/>
    <n v="44"/>
    <s v="S24_2022"/>
    <s v="Herkku Gifts"/>
    <s v="+47 2267 3215"/>
    <s v="Drammen 121, PR 744 Sentrum"/>
    <m/>
    <s v="Bergen"/>
    <m/>
    <s v="N 5804"/>
    <x v="2"/>
    <s v="EMEA"/>
    <s v="Oeztan"/>
    <s v="Veysel"/>
    <s v="Small"/>
  </r>
  <r>
    <n v="10304"/>
    <n v="44"/>
    <n v="39.42"/>
    <n v="15"/>
    <x v="1606"/>
    <d v="2004-10-11T00:00:00"/>
    <s v="Shipped"/>
    <n v="4"/>
    <n v="10"/>
    <x v="1"/>
    <x v="3"/>
    <n v="44"/>
    <s v="S24_2022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2"/>
    <n v="23"/>
    <n v="37.630000000000003"/>
    <n v="12"/>
    <x v="1607"/>
    <d v="2004-10-21T00:00:00"/>
    <s v="Shipped"/>
    <n v="4"/>
    <n v="10"/>
    <x v="1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22"/>
    <n v="30"/>
    <n v="100"/>
    <n v="4"/>
    <x v="1608"/>
    <d v="2004-11-04T00:00:00"/>
    <s v="Shipped"/>
    <n v="4"/>
    <n v="11"/>
    <x v="1"/>
    <x v="3"/>
    <n v="44"/>
    <s v="S24_202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332"/>
    <n v="26"/>
    <n v="85.52"/>
    <n v="10"/>
    <x v="1609"/>
    <d v="2004-11-17T00:00:00"/>
    <s v="Shipped"/>
    <n v="4"/>
    <n v="11"/>
    <x v="1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s v="Small"/>
  </r>
  <r>
    <n v="10345"/>
    <n v="43"/>
    <n v="53.76"/>
    <n v="1"/>
    <x v="1610"/>
    <d v="2004-11-25T00:00:00"/>
    <s v="Shipped"/>
    <n v="4"/>
    <n v="11"/>
    <x v="1"/>
    <x v="3"/>
    <n v="44"/>
    <s v="S24_2022"/>
    <s v="Atelier graphique"/>
    <s v="40.32.2555"/>
    <s v="54, rue Royale"/>
    <m/>
    <s v="Nantes"/>
    <m/>
    <n v="44000"/>
    <x v="1"/>
    <s v="EMEA"/>
    <s v="Schmitt"/>
    <s v="Carine"/>
    <s v="Small"/>
  </r>
  <r>
    <n v="10356"/>
    <n v="26"/>
    <n v="31.86"/>
    <n v="7"/>
    <x v="1611"/>
    <d v="2004-12-09T00:00:00"/>
    <s v="Shipped"/>
    <n v="4"/>
    <n v="12"/>
    <x v="1"/>
    <x v="3"/>
    <n v="44"/>
    <s v="S24_2022"/>
    <s v="Lyon Souveniers"/>
    <s v="+33 1 46 62 7555"/>
    <s v="27 rue du Colonel Pierre Avia"/>
    <m/>
    <s v="Paris"/>
    <m/>
    <n v="75508"/>
    <x v="1"/>
    <s v="EMEA"/>
    <s v="Da Cunha"/>
    <s v="Daniel"/>
    <s v="Small"/>
  </r>
  <r>
    <n v="10367"/>
    <n v="28"/>
    <n v="30.59"/>
    <n v="12"/>
    <x v="1612"/>
    <d v="2005-01-12T00:00:00"/>
    <s v="Resolved"/>
    <n v="1"/>
    <n v="1"/>
    <x v="2"/>
    <x v="3"/>
    <n v="44"/>
    <s v="S24_2022"/>
    <s v="Toys4GrownUps.com"/>
    <n v="6265557265"/>
    <s v="78934 Hillside Dr."/>
    <m/>
    <s v="Pasadena"/>
    <s v="CA"/>
    <n v="90003"/>
    <x v="0"/>
    <s v="NA"/>
    <s v="Young"/>
    <s v="Julie"/>
    <s v="Small"/>
  </r>
  <r>
    <n v="10380"/>
    <n v="27"/>
    <n v="68.349999999999994"/>
    <n v="5"/>
    <x v="1613"/>
    <d v="2005-02-16T00:00:00"/>
    <s v="Shipped"/>
    <n v="1"/>
    <n v="2"/>
    <x v="2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s v="Small"/>
  </r>
  <r>
    <n v="10391"/>
    <n v="24"/>
    <n v="100"/>
    <n v="1"/>
    <x v="1614"/>
    <d v="2005-03-09T00:00:00"/>
    <s v="Shipped"/>
    <n v="1"/>
    <n v="3"/>
    <x v="2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421"/>
    <n v="40"/>
    <n v="45.7"/>
    <n v="2"/>
    <x v="1615"/>
    <d v="2005-05-29T00:00:00"/>
    <s v="In Process"/>
    <n v="2"/>
    <n v="5"/>
    <x v="2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03"/>
    <n v="36"/>
    <n v="100"/>
    <n v="1"/>
    <x v="1616"/>
    <d v="2003-01-29T00:00:00"/>
    <s v="Shipped"/>
    <n v="1"/>
    <n v="1"/>
    <x v="0"/>
    <x v="2"/>
    <n v="127"/>
    <s v="S24_2300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21"/>
    <n v="100"/>
    <n v="5"/>
    <x v="1617"/>
    <d v="2003-04-01T00:00:00"/>
    <s v="Shipped"/>
    <n v="2"/>
    <n v="4"/>
    <x v="0"/>
    <x v="2"/>
    <n v="127"/>
    <s v="S24_2300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6"/>
    <n v="27"/>
    <n v="100"/>
    <n v="1"/>
    <x v="1618"/>
    <d v="2003-05-28T00:00:00"/>
    <s v="Shipped"/>
    <n v="2"/>
    <n v="5"/>
    <x v="0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47"/>
    <n v="100"/>
    <n v="1"/>
    <x v="1619"/>
    <d v="2003-07-24T00:00:00"/>
    <s v="Shipped"/>
    <n v="3"/>
    <n v="7"/>
    <x v="0"/>
    <x v="2"/>
    <n v="127"/>
    <s v="S24_2300"/>
    <s v="Technics Stores Inc."/>
    <n v="6505556809"/>
    <s v="9408 Furth Circle"/>
    <m/>
    <s v="Burlingame"/>
    <s v="CA"/>
    <n v="94217"/>
    <x v="0"/>
    <s v="NA"/>
    <s v="Hirano"/>
    <s v="Juri"/>
    <s v="Medium"/>
  </r>
  <r>
    <n v="10151"/>
    <n v="42"/>
    <n v="100"/>
    <n v="8"/>
    <x v="1620"/>
    <d v="2003-09-21T00:00:00"/>
    <s v="Shipped"/>
    <n v="3"/>
    <n v="9"/>
    <x v="0"/>
    <x v="2"/>
    <n v="127"/>
    <s v="S24_2300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32"/>
    <n v="100"/>
    <n v="17"/>
    <x v="1621"/>
    <d v="2003-10-22T00:00:00"/>
    <s v="Shipped"/>
    <n v="4"/>
    <n v="10"/>
    <x v="0"/>
    <x v="2"/>
    <n v="127"/>
    <s v="S24_2300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5"/>
    <n v="28"/>
    <n v="100"/>
    <n v="6"/>
    <x v="1622"/>
    <d v="2003-11-06T00:00:00"/>
    <s v="Shipped"/>
    <n v="4"/>
    <n v="11"/>
    <x v="0"/>
    <x v="2"/>
    <n v="127"/>
    <s v="S24_2300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24"/>
    <n v="100"/>
    <n v="11"/>
    <x v="1623"/>
    <d v="2003-11-14T00:00:00"/>
    <s v="Shipped"/>
    <n v="4"/>
    <n v="11"/>
    <x v="0"/>
    <x v="2"/>
    <n v="127"/>
    <s v="S24_2300"/>
    <s v="Iberia Gift Imports, Corp."/>
    <s v="(95) 555 82 82"/>
    <s v="C/ Romero, 33"/>
    <m/>
    <s v="Sevilla"/>
    <m/>
    <n v="41101"/>
    <x v="7"/>
    <s v="EMEA"/>
    <s v="Roel"/>
    <s v="Jose Pedro"/>
    <s v="Medium"/>
  </r>
  <r>
    <n v="10194"/>
    <n v="49"/>
    <n v="100"/>
    <n v="1"/>
    <x v="1624"/>
    <d v="2003-11-25T00:00:00"/>
    <s v="Shipped"/>
    <n v="4"/>
    <n v="11"/>
    <x v="0"/>
    <x v="2"/>
    <n v="127"/>
    <s v="S24_2300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6"/>
    <n v="100"/>
    <n v="12"/>
    <x v="1625"/>
    <d v="2003-12-09T00:00:00"/>
    <s v="Shipped"/>
    <n v="4"/>
    <n v="12"/>
    <x v="0"/>
    <x v="2"/>
    <n v="127"/>
    <s v="S24_2300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28"/>
    <n v="100"/>
    <n v="1"/>
    <x v="1626"/>
    <d v="2004-02-04T00:00:00"/>
    <s v="Shipped"/>
    <n v="1"/>
    <n v="2"/>
    <x v="1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29"/>
    <n v="48"/>
    <n v="100"/>
    <n v="6"/>
    <x v="1627"/>
    <d v="2004-03-11T00:00:00"/>
    <s v="Shipped"/>
    <n v="1"/>
    <n v="3"/>
    <x v="1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6"/>
    <n v="29"/>
    <n v="100"/>
    <n v="10"/>
    <x v="1628"/>
    <d v="2004-05-05T00:00:00"/>
    <s v="Shipped"/>
    <n v="2"/>
    <n v="5"/>
    <x v="1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s v="Medium"/>
  </r>
  <r>
    <n v="10259"/>
    <n v="47"/>
    <n v="100"/>
    <n v="9"/>
    <x v="1629"/>
    <d v="2004-06-15T00:00:00"/>
    <s v="Shipped"/>
    <n v="2"/>
    <n v="6"/>
    <x v="1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43"/>
    <n v="100"/>
    <n v="10"/>
    <x v="1630"/>
    <d v="2004-07-20T00:00:00"/>
    <s v="Shipped"/>
    <n v="3"/>
    <n v="7"/>
    <x v="1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1"/>
    <n v="25"/>
    <n v="100"/>
    <n v="6"/>
    <x v="1631"/>
    <d v="2004-08-19T00:00:00"/>
    <s v="Shipped"/>
    <n v="3"/>
    <n v="8"/>
    <x v="1"/>
    <x v="2"/>
    <n v="127"/>
    <s v="S24_2300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48"/>
    <n v="100"/>
    <n v="1"/>
    <x v="1632"/>
    <d v="2004-09-08T00:00:00"/>
    <s v="Shipped"/>
    <n v="3"/>
    <n v="9"/>
    <x v="1"/>
    <x v="2"/>
    <n v="127"/>
    <s v="S24_2300"/>
    <s v="Scandinavian Gift Ideas"/>
    <s v="0695-34 6555"/>
    <s v="?kergatan 24"/>
    <m/>
    <s v="Boras"/>
    <m/>
    <s v="S-844 67"/>
    <x v="8"/>
    <s v="EMEA"/>
    <s v="Larsson"/>
    <s v="Maria"/>
    <s v="Medium"/>
  </r>
  <r>
    <n v="10305"/>
    <n v="24"/>
    <n v="100"/>
    <n v="10"/>
    <x v="1633"/>
    <d v="2004-10-13T00:00:00"/>
    <s v="Shipped"/>
    <n v="4"/>
    <n v="10"/>
    <x v="1"/>
    <x v="2"/>
    <n v="127"/>
    <s v="S24_2300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42"/>
    <n v="100"/>
    <n v="4"/>
    <x v="1634"/>
    <d v="2004-10-22T00:00:00"/>
    <s v="Shipped"/>
    <n v="4"/>
    <n v="10"/>
    <x v="1"/>
    <x v="2"/>
    <n v="127"/>
    <s v="S24_2300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324"/>
    <n v="31"/>
    <n v="100"/>
    <n v="2"/>
    <x v="1635"/>
    <d v="2004-11-05T00:00:00"/>
    <s v="Shipped"/>
    <n v="4"/>
    <n v="11"/>
    <x v="1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4"/>
    <n v="42"/>
    <n v="100"/>
    <n v="5"/>
    <x v="1636"/>
    <d v="2004-11-19T00:00:00"/>
    <s v="On Hold"/>
    <n v="4"/>
    <n v="11"/>
    <x v="1"/>
    <x v="2"/>
    <n v="127"/>
    <s v="S24_2300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48"/>
    <n v="37"/>
    <n v="100"/>
    <n v="1"/>
    <x v="1637"/>
    <d v="2004-11-01T00:00:00"/>
    <s v="Shipped"/>
    <n v="4"/>
    <n v="11"/>
    <x v="1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7"/>
    <x v="1638"/>
    <d v="2004-12-10T00:00:00"/>
    <s v="Shipped"/>
    <n v="4"/>
    <n v="12"/>
    <x v="1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20"/>
    <n v="100"/>
    <n v="5"/>
    <x v="1639"/>
    <d v="2005-01-23T00:00:00"/>
    <s v="Shipped"/>
    <n v="1"/>
    <n v="1"/>
    <x v="2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20"/>
    <n v="100"/>
    <n v="3"/>
    <x v="1640"/>
    <d v="2005-02-17T00:00:00"/>
    <s v="Shipped"/>
    <n v="1"/>
    <n v="2"/>
    <x v="2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2"/>
    <n v="70"/>
    <n v="100"/>
    <n v="10"/>
    <x v="1641"/>
    <d v="2005-05-03T00:00:00"/>
    <s v="Shipped"/>
    <n v="2"/>
    <n v="5"/>
    <x v="2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s v="Large"/>
  </r>
  <r>
    <n v="10425"/>
    <n v="49"/>
    <n v="100"/>
    <n v="9"/>
    <x v="1642"/>
    <d v="2005-05-31T00:00:00"/>
    <s v="In Process"/>
    <n v="2"/>
    <n v="5"/>
    <x v="2"/>
    <x v="2"/>
    <n v="127"/>
    <s v="S24_2300"/>
    <s v="La Rochelle Gifts"/>
    <s v="40.67.8555"/>
    <s v="67, rue des Cinquante Otages"/>
    <m/>
    <s v="Nantes"/>
    <m/>
    <n v="44000"/>
    <x v="1"/>
    <s v="EMEA"/>
    <s v="Labrune"/>
    <s v="Janine"/>
    <s v="Medium"/>
  </r>
  <r>
    <n v="10108"/>
    <n v="35"/>
    <n v="58.87"/>
    <n v="15"/>
    <x v="1643"/>
    <d v="2003-03-03T00:00:00"/>
    <s v="Shipped"/>
    <n v="1"/>
    <n v="3"/>
    <x v="0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32"/>
    <n v="76.88"/>
    <n v="2"/>
    <x v="1644"/>
    <d v="2003-05-07T00:00:00"/>
    <s v="Shipped"/>
    <n v="2"/>
    <n v="5"/>
    <x v="0"/>
    <x v="0"/>
    <n v="69"/>
    <s v="S24_2360"/>
    <s v="Reims Collectables"/>
    <s v="26.47.1555"/>
    <s v="59 rue de l'Abbaye"/>
    <m/>
    <s v="Reims"/>
    <m/>
    <n v="51100"/>
    <x v="1"/>
    <s v="EMEA"/>
    <s v="Henriot"/>
    <s v="Paul"/>
    <s v="Small"/>
  </r>
  <r>
    <n v="10135"/>
    <n v="29"/>
    <n v="61.64"/>
    <n v="16"/>
    <x v="1645"/>
    <d v="2003-07-02T00:00:00"/>
    <s v="Shipped"/>
    <n v="3"/>
    <n v="7"/>
    <x v="0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27"/>
    <n v="60.95"/>
    <n v="3"/>
    <x v="1646"/>
    <d v="2003-08-25T00:00:00"/>
    <s v="Shipped"/>
    <n v="3"/>
    <n v="8"/>
    <x v="0"/>
    <x v="0"/>
    <n v="69"/>
    <s v="S24_2360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27"/>
    <n v="80.34"/>
    <n v="11"/>
    <x v="1647"/>
    <d v="2003-10-10T00:00:00"/>
    <s v="Shipped"/>
    <n v="4"/>
    <n v="10"/>
    <x v="0"/>
    <x v="0"/>
    <n v="69"/>
    <s v="S24_236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8"/>
    <n v="74.11"/>
    <n v="11"/>
    <x v="1648"/>
    <d v="2003-11-04T00:00:00"/>
    <s v="Shipped"/>
    <n v="4"/>
    <n v="11"/>
    <x v="0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5"/>
    <n v="72.03"/>
    <n v="6"/>
    <x v="1649"/>
    <d v="2003-11-11T00:00:00"/>
    <s v="Shipped"/>
    <n v="4"/>
    <n v="11"/>
    <x v="0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2"/>
    <n v="76.19"/>
    <n v="3"/>
    <x v="1650"/>
    <d v="2003-11-19T00:00:00"/>
    <s v="Shipped"/>
    <n v="4"/>
    <n v="11"/>
    <x v="0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21"/>
    <n v="63.72"/>
    <n v="11"/>
    <x v="1651"/>
    <d v="2004-01-15T00:00:00"/>
    <s v="Shipped"/>
    <n v="1"/>
    <n v="1"/>
    <x v="1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37"/>
    <n v="80.34"/>
    <n v="4"/>
    <x v="1652"/>
    <d v="2004-02-21T00:00:00"/>
    <s v="Shipped"/>
    <n v="1"/>
    <n v="2"/>
    <x v="1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79.650000000000006"/>
    <n v="4"/>
    <x v="1653"/>
    <d v="2004-04-05T00:00:00"/>
    <s v="Shipped"/>
    <n v="2"/>
    <n v="4"/>
    <x v="1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7"/>
    <n v="65.8"/>
    <n v="8"/>
    <x v="1654"/>
    <d v="2004-05-26T00:00:00"/>
    <s v="Shipped"/>
    <n v="2"/>
    <n v="5"/>
    <x v="1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37"/>
    <n v="65.099999999999994"/>
    <n v="6"/>
    <x v="1655"/>
    <d v="2004-06-30T00:00:00"/>
    <s v="Shipped"/>
    <n v="2"/>
    <n v="6"/>
    <x v="1"/>
    <x v="0"/>
    <n v="69"/>
    <s v="S24_2360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46"/>
    <n v="75.489999999999995"/>
    <n v="12"/>
    <x v="1656"/>
    <d v="2004-08-02T00:00:00"/>
    <s v="Shipped"/>
    <n v="3"/>
    <n v="8"/>
    <x v="1"/>
    <x v="0"/>
    <n v="69"/>
    <s v="S24_236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38"/>
    <n v="59.56"/>
    <n v="3"/>
    <x v="1657"/>
    <d v="2004-08-27T00:00:00"/>
    <s v="Shipped"/>
    <n v="3"/>
    <n v="8"/>
    <x v="1"/>
    <x v="0"/>
    <n v="69"/>
    <s v="S24_236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33"/>
    <n v="66.489999999999995"/>
    <n v="6"/>
    <x v="1658"/>
    <d v="2004-09-30T00:00:00"/>
    <s v="Shipped"/>
    <n v="3"/>
    <n v="9"/>
    <x v="1"/>
    <x v="0"/>
    <n v="69"/>
    <s v="S24_2360"/>
    <s v="Toys of Finland, Co."/>
    <s v="90-224 8555"/>
    <s v="Keskuskatu 45"/>
    <m/>
    <s v="Helsinki"/>
    <m/>
    <n v="21240"/>
    <x v="4"/>
    <s v="EMEA"/>
    <s v="Karttunen"/>
    <s v="Matti"/>
    <s v="Small"/>
  </r>
  <r>
    <n v="10309"/>
    <n v="24"/>
    <n v="56.1"/>
    <n v="2"/>
    <x v="1659"/>
    <d v="2004-10-15T00:00:00"/>
    <s v="Shipped"/>
    <n v="4"/>
    <n v="10"/>
    <x v="1"/>
    <x v="0"/>
    <n v="69"/>
    <s v="S24_2360"/>
    <s v="Baane Mini Imports"/>
    <s v="07-98 9555"/>
    <s v="Erling Skakkes gate 78"/>
    <m/>
    <s v="Stavern"/>
    <m/>
    <n v="4110"/>
    <x v="2"/>
    <s v="EMEA"/>
    <s v="Bergulfsen"/>
    <s v="Jonas"/>
    <s v="Small"/>
  </r>
  <r>
    <n v="10319"/>
    <n v="31"/>
    <n v="81.73"/>
    <n v="7"/>
    <x v="1660"/>
    <d v="2004-11-03T00:00:00"/>
    <s v="Shipped"/>
    <n v="4"/>
    <n v="11"/>
    <x v="1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0"/>
    <n v="42"/>
    <n v="81.03"/>
    <n v="1"/>
    <x v="1661"/>
    <d v="2004-11-16T00:00:00"/>
    <s v="Shipped"/>
    <n v="4"/>
    <n v="11"/>
    <x v="1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341"/>
    <n v="32"/>
    <n v="100"/>
    <n v="6"/>
    <x v="1662"/>
    <d v="2004-11-24T00:00:00"/>
    <s v="Shipped"/>
    <n v="4"/>
    <n v="11"/>
    <x v="1"/>
    <x v="0"/>
    <n v="69"/>
    <s v="S24_2360"/>
    <s v="Salzburg Collectables"/>
    <s v="6562-9555"/>
    <s v="Geislweg 14"/>
    <m/>
    <s v="Salzburg"/>
    <m/>
    <n v="5020"/>
    <x v="5"/>
    <s v="EMEA"/>
    <s v="Pipps"/>
    <s v="Georg"/>
    <s v="Medium"/>
  </r>
  <r>
    <n v="10355"/>
    <n v="41"/>
    <n v="70.650000000000006"/>
    <n v="3"/>
    <x v="1663"/>
    <d v="2004-12-07T00:00:00"/>
    <s v="Shipped"/>
    <n v="4"/>
    <n v="12"/>
    <x v="1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43"/>
    <n v="61.23"/>
    <n v="14"/>
    <x v="1664"/>
    <d v="2005-01-06T00:00:00"/>
    <s v="Shipped"/>
    <n v="1"/>
    <n v="1"/>
    <x v="2"/>
    <x v="0"/>
    <n v="69"/>
    <s v="S24_2360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5"/>
    <n v="20"/>
    <n v="100"/>
    <n v="14"/>
    <x v="1665"/>
    <d v="2005-02-03T00:00:00"/>
    <s v="Shipped"/>
    <n v="1"/>
    <n v="2"/>
    <x v="2"/>
    <x v="0"/>
    <n v="69"/>
    <s v="S24_2360"/>
    <s v="La Rochelle Gifts"/>
    <s v="40.67.8555"/>
    <s v="67, rue des Cinquante Otages"/>
    <m/>
    <s v="Nantes"/>
    <m/>
    <n v="44000"/>
    <x v="1"/>
    <s v="EMEA"/>
    <s v="Labrune"/>
    <s v="Janine"/>
    <s v="Small"/>
  </r>
  <r>
    <n v="10390"/>
    <n v="35"/>
    <n v="65.13"/>
    <n v="4"/>
    <x v="1666"/>
    <d v="2005-03-04T00:00:00"/>
    <s v="Shipped"/>
    <n v="1"/>
    <n v="3"/>
    <x v="2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27"/>
    <n v="79.650000000000006"/>
    <n v="4"/>
    <x v="1667"/>
    <d v="2005-04-08T00:00:00"/>
    <s v="Shipped"/>
    <n v="2"/>
    <n v="4"/>
    <x v="2"/>
    <x v="0"/>
    <n v="69"/>
    <s v="S24_2360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10"/>
    <n v="43"/>
    <n v="78.150000000000006"/>
    <n v="11"/>
    <x v="1668"/>
    <d v="2003-03-18T00:00:00"/>
    <s v="Shipped"/>
    <n v="1"/>
    <n v="3"/>
    <x v="0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32"/>
    <n v="72.7"/>
    <n v="10"/>
    <x v="1669"/>
    <d v="2003-05-21T00:00:00"/>
    <s v="Shipped"/>
    <n v="2"/>
    <n v="5"/>
    <x v="0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21"/>
    <n v="73.599999999999994"/>
    <n v="4"/>
    <x v="1670"/>
    <d v="2003-09-11T00:00:00"/>
    <s v="Shipped"/>
    <n v="3"/>
    <n v="9"/>
    <x v="0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100"/>
    <n v="3"/>
    <x v="1671"/>
    <d v="2003-10-17T00:00:00"/>
    <s v="Shipped"/>
    <n v="4"/>
    <n v="10"/>
    <x v="0"/>
    <x v="1"/>
    <n v="90"/>
    <s v="S24_2766"/>
    <s v="Heintze Collectables"/>
    <s v="86 21 3555"/>
    <s v="Smagsloget 45"/>
    <m/>
    <s v="Aaarhus"/>
    <m/>
    <n v="8200"/>
    <x v="13"/>
    <s v="EMEA"/>
    <s v="Ibsen"/>
    <s v="Palle"/>
    <s v="Small"/>
  </r>
  <r>
    <n v="10172"/>
    <n v="22"/>
    <n v="74.510000000000005"/>
    <n v="1"/>
    <x v="1672"/>
    <d v="2003-11-05T00:00:00"/>
    <s v="Shipped"/>
    <n v="4"/>
    <n v="11"/>
    <x v="0"/>
    <x v="1"/>
    <n v="90"/>
    <s v="S24_2766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36"/>
    <n v="73.599999999999994"/>
    <n v="14"/>
    <x v="1673"/>
    <d v="2003-11-12T00:00:00"/>
    <s v="Shipped"/>
    <n v="4"/>
    <n v="11"/>
    <x v="0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2"/>
    <n v="46"/>
    <n v="83.6"/>
    <n v="2"/>
    <x v="1674"/>
    <d v="2003-11-20T00:00:00"/>
    <s v="Shipped"/>
    <n v="4"/>
    <n v="11"/>
    <x v="0"/>
    <x v="1"/>
    <n v="90"/>
    <s v="S24_276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7"/>
    <n v="96.32"/>
    <n v="8"/>
    <x v="1675"/>
    <d v="2003-12-02T00:00:00"/>
    <s v="Shipped"/>
    <n v="4"/>
    <n v="12"/>
    <x v="0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5"/>
    <n v="88.14"/>
    <n v="1"/>
    <x v="1676"/>
    <d v="2004-01-16T00:00:00"/>
    <s v="Shipped"/>
    <n v="1"/>
    <n v="1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Medium"/>
  </r>
  <r>
    <n v="10227"/>
    <n v="47"/>
    <n v="88.14"/>
    <n v="14"/>
    <x v="1677"/>
    <d v="2004-03-02T00:00:00"/>
    <s v="Shipped"/>
    <n v="1"/>
    <n v="3"/>
    <x v="1"/>
    <x v="1"/>
    <n v="90"/>
    <s v="S24_2766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47"/>
    <n v="94.5"/>
    <n v="6"/>
    <x v="1678"/>
    <d v="2004-04-13T00:00:00"/>
    <s v="Shipped"/>
    <n v="2"/>
    <n v="4"/>
    <x v="1"/>
    <x v="1"/>
    <n v="90"/>
    <s v="S24_2766"/>
    <s v="Mini Caravy"/>
    <s v="88.60.1555"/>
    <s v="24, place Kluber"/>
    <m/>
    <s v="Strasbourg"/>
    <m/>
    <n v="67000"/>
    <x v="1"/>
    <s v="EMEA"/>
    <s v="Citeaux"/>
    <s v="Frederique"/>
    <s v="Medium"/>
  </r>
  <r>
    <n v="10267"/>
    <n v="38"/>
    <n v="87.24"/>
    <n v="3"/>
    <x v="1679"/>
    <d v="2004-07-07T00:00:00"/>
    <s v="Shipped"/>
    <n v="3"/>
    <n v="7"/>
    <x v="1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9"/>
    <n v="79.97"/>
    <n v="3"/>
    <x v="1680"/>
    <d v="2004-08-09T00:00:00"/>
    <s v="Shipped"/>
    <n v="3"/>
    <n v="8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35"/>
    <n v="80.87"/>
    <n v="9"/>
    <x v="1681"/>
    <d v="2004-09-01T00:00:00"/>
    <s v="Shipped"/>
    <n v="3"/>
    <n v="9"/>
    <x v="1"/>
    <x v="1"/>
    <n v="90"/>
    <s v="S24_2766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9"/>
    <n v="100"/>
    <n v="5"/>
    <x v="1682"/>
    <d v="2003-10-06T00:00:00"/>
    <s v="Shipped"/>
    <n v="4"/>
    <n v="10"/>
    <x v="0"/>
    <x v="1"/>
    <n v="90"/>
    <s v="S24_276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28"/>
    <n v="93.6"/>
    <n v="4"/>
    <x v="1683"/>
    <d v="2004-10-16T00:00:00"/>
    <s v="Shipped"/>
    <n v="4"/>
    <n v="10"/>
    <x v="1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0"/>
    <n v="72.7"/>
    <n v="1"/>
    <x v="1684"/>
    <d v="2004-11-04T00:00:00"/>
    <s v="Shipped"/>
    <n v="4"/>
    <n v="11"/>
    <x v="1"/>
    <x v="1"/>
    <n v="90"/>
    <s v="S24_2766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39"/>
    <n v="86.72"/>
    <n v="7"/>
    <x v="1685"/>
    <d v="2004-11-17T00:00:00"/>
    <s v="Shipped"/>
    <n v="4"/>
    <n v="11"/>
    <x v="1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25"/>
    <n v="100"/>
    <n v="1"/>
    <x v="1686"/>
    <d v="2004-11-29T00:00:00"/>
    <s v="Shipped"/>
    <n v="4"/>
    <n v="11"/>
    <x v="1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40"/>
    <n v="100"/>
    <n v="2"/>
    <x v="1687"/>
    <d v="2005-01-19T00:00:00"/>
    <s v="Shipped"/>
    <n v="1"/>
    <n v="1"/>
    <x v="2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36"/>
    <n v="37.5"/>
    <n v="6"/>
    <x v="1688"/>
    <d v="2005-02-16T00:00:00"/>
    <s v="Shipped"/>
    <n v="1"/>
    <n v="2"/>
    <x v="2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76"/>
    <n v="94.5"/>
    <n v="6"/>
    <x v="441"/>
    <d v="2005-04-22T00:00:00"/>
    <s v="On Hold"/>
    <n v="2"/>
    <n v="4"/>
    <x v="2"/>
    <x v="1"/>
    <n v="90"/>
    <s v="S24_2766"/>
    <s v="The Sharp Gifts Warehouse"/>
    <n v="4085553659"/>
    <s v="3086 Ingle Ln."/>
    <m/>
    <s v="San Jose"/>
    <s v="CA"/>
    <n v="94217"/>
    <x v="0"/>
    <s v="NA"/>
    <s v="Frick"/>
    <s v="Sue"/>
    <s v="Large"/>
  </r>
  <r>
    <n v="10420"/>
    <n v="39"/>
    <n v="100"/>
    <n v="9"/>
    <x v="1689"/>
    <d v="2005-05-29T00:00:00"/>
    <s v="In Process"/>
    <n v="2"/>
    <n v="5"/>
    <x v="2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4"/>
    <n v="44"/>
    <n v="39.6"/>
    <n v="10"/>
    <x v="500"/>
    <d v="2003-01-31T00:00:00"/>
    <s v="Shipped"/>
    <n v="1"/>
    <n v="1"/>
    <x v="0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114"/>
    <n v="24"/>
    <n v="30.06"/>
    <n v="1"/>
    <x v="1690"/>
    <d v="2003-04-01T00:00:00"/>
    <s v="Shipped"/>
    <n v="2"/>
    <n v="4"/>
    <x v="0"/>
    <x v="1"/>
    <n v="35"/>
    <s v="S24_2840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7"/>
    <n v="39"/>
    <n v="38.19"/>
    <n v="12"/>
    <x v="1691"/>
    <d v="2003-06-03T00:00:00"/>
    <s v="Shipped"/>
    <n v="2"/>
    <n v="6"/>
    <x v="0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1"/>
    <n v="42.43"/>
    <n v="6"/>
    <x v="1692"/>
    <d v="2003-08-01T00:00:00"/>
    <s v="Shipped"/>
    <n v="3"/>
    <n v="8"/>
    <x v="0"/>
    <x v="1"/>
    <n v="35"/>
    <s v="S24_2840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30"/>
    <n v="40.31"/>
    <n v="4"/>
    <x v="1693"/>
    <d v="2003-09-21T00:00:00"/>
    <s v="Shipped"/>
    <n v="3"/>
    <n v="9"/>
    <x v="0"/>
    <x v="1"/>
    <n v="35"/>
    <s v="S24_2840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27"/>
    <n v="31.82"/>
    <n v="13"/>
    <x v="1694"/>
    <d v="2003-10-22T00:00:00"/>
    <s v="Shipped"/>
    <n v="4"/>
    <n v="10"/>
    <x v="0"/>
    <x v="1"/>
    <n v="35"/>
    <s v="S24_2840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37"/>
    <n v="31.12"/>
    <n v="2"/>
    <x v="1695"/>
    <d v="2003-11-06T00:00:00"/>
    <s v="Shipped"/>
    <n v="4"/>
    <n v="11"/>
    <x v="0"/>
    <x v="1"/>
    <n v="35"/>
    <s v="S24_2840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2"/>
    <n v="31.82"/>
    <n v="7"/>
    <x v="1696"/>
    <d v="2003-11-14T00:00:00"/>
    <s v="Shipped"/>
    <n v="4"/>
    <n v="11"/>
    <x v="0"/>
    <x v="1"/>
    <n v="35"/>
    <s v="S24_2840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2"/>
    <n v="28.29"/>
    <n v="7"/>
    <x v="1697"/>
    <d v="2003-11-25T00:00:00"/>
    <s v="Shipped"/>
    <n v="4"/>
    <n v="11"/>
    <x v="0"/>
    <x v="1"/>
    <n v="35"/>
    <s v="S24_2840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2"/>
    <n v="29.7"/>
    <n v="8"/>
    <x v="1698"/>
    <d v="2003-12-09T00:00:00"/>
    <s v="Shipped"/>
    <n v="4"/>
    <n v="12"/>
    <x v="0"/>
    <x v="1"/>
    <n v="35"/>
    <s v="S24_2840"/>
    <s v="Diecast Collectables"/>
    <n v="6175552555"/>
    <s v="6251 Ingle Ln."/>
    <m/>
    <s v="Boston"/>
    <s v="MA"/>
    <n v="51003"/>
    <x v="0"/>
    <s v="NA"/>
    <s v="Franco"/>
    <s v="Valarie"/>
    <s v="Small"/>
  </r>
  <r>
    <n v="10219"/>
    <n v="21"/>
    <n v="40.31"/>
    <n v="3"/>
    <x v="1699"/>
    <d v="2004-02-10T00:00:00"/>
    <s v="Shipped"/>
    <n v="1"/>
    <n v="2"/>
    <x v="1"/>
    <x v="1"/>
    <n v="35"/>
    <s v="S24_2840"/>
    <s v="Signal Collectibles Ltd."/>
    <n v="4155554312"/>
    <s v="2793 Furth Circle"/>
    <m/>
    <s v="Brisbane"/>
    <s v="CA"/>
    <n v="94217"/>
    <x v="0"/>
    <s v="NA"/>
    <s v="Taylor"/>
    <s v="Sue"/>
    <s v="Small"/>
  </r>
  <r>
    <n v="10229"/>
    <n v="33"/>
    <n v="32.880000000000003"/>
    <n v="2"/>
    <x v="1700"/>
    <d v="2004-03-11T00:00:00"/>
    <s v="Shipped"/>
    <n v="1"/>
    <n v="3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49"/>
    <n v="36.07"/>
    <n v="6"/>
    <x v="1701"/>
    <d v="2004-05-05T00:00:00"/>
    <s v="Shipped"/>
    <n v="2"/>
    <n v="5"/>
    <x v="1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31"/>
    <n v="33.24"/>
    <n v="5"/>
    <x v="1702"/>
    <d v="2004-06-15T00:00:00"/>
    <s v="Shipped"/>
    <n v="2"/>
    <n v="6"/>
    <x v="1"/>
    <x v="1"/>
    <n v="35"/>
    <s v="S24_2840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8"/>
    <n v="41.72"/>
    <n v="6"/>
    <x v="1703"/>
    <d v="2004-07-20T00:00:00"/>
    <s v="Shipped"/>
    <n v="3"/>
    <n v="7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20"/>
    <n v="40.659999999999997"/>
    <n v="2"/>
    <x v="1704"/>
    <d v="2004-08-19T00:00:00"/>
    <s v="Shipped"/>
    <n v="3"/>
    <n v="8"/>
    <x v="1"/>
    <x v="1"/>
    <n v="35"/>
    <s v="S24_2840"/>
    <s v="Diecast Classics Inc."/>
    <n v="2155551555"/>
    <s v="7586 Pompton St."/>
    <m/>
    <s v="Allentown"/>
    <s v="PA"/>
    <n v="70267"/>
    <x v="0"/>
    <s v="NA"/>
    <s v="Yu"/>
    <s v="Kyung"/>
    <s v="Small"/>
  </r>
  <r>
    <n v="10292"/>
    <n v="39"/>
    <n v="30.06"/>
    <n v="9"/>
    <x v="1705"/>
    <d v="2004-09-08T00:00:00"/>
    <s v="Shipped"/>
    <n v="3"/>
    <n v="9"/>
    <x v="1"/>
    <x v="1"/>
    <n v="35"/>
    <s v="S24_2840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8"/>
    <n v="31.47"/>
    <n v="6"/>
    <x v="1706"/>
    <d v="2004-10-13T00:00:00"/>
    <s v="Shipped"/>
    <n v="4"/>
    <n v="10"/>
    <x v="1"/>
    <x v="1"/>
    <n v="35"/>
    <s v="S24_2840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4"/>
    <n v="39"/>
    <n v="37.130000000000003"/>
    <n v="15"/>
    <x v="1707"/>
    <d v="2004-10-22T00:00:00"/>
    <s v="Shipped"/>
    <n v="4"/>
    <n v="10"/>
    <x v="1"/>
    <x v="1"/>
    <n v="35"/>
    <s v="S24_2840"/>
    <s v="Heintze Collectables"/>
    <s v="86 21 3555"/>
    <s v="Smagsloget 45"/>
    <m/>
    <s v="Aaarhus"/>
    <m/>
    <n v="8200"/>
    <x v="13"/>
    <s v="EMEA"/>
    <s v="Ibsen"/>
    <s v="Palle"/>
    <s v="Small"/>
  </r>
  <r>
    <n v="10324"/>
    <n v="30"/>
    <n v="100"/>
    <n v="9"/>
    <x v="1708"/>
    <d v="2004-11-05T00:00:00"/>
    <s v="Shipped"/>
    <n v="4"/>
    <n v="11"/>
    <x v="1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5"/>
    <n v="33"/>
    <n v="37.130000000000003"/>
    <n v="2"/>
    <x v="1709"/>
    <d v="2004-11-19T00:00:00"/>
    <s v="Shipped"/>
    <n v="4"/>
    <n v="11"/>
    <x v="1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49"/>
    <n v="36"/>
    <n v="37.130000000000003"/>
    <n v="3"/>
    <x v="1710"/>
    <d v="2004-12-01T00:00:00"/>
    <s v="Shipped"/>
    <n v="4"/>
    <n v="12"/>
    <x v="1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8"/>
    <n v="36"/>
    <n v="82.94"/>
    <n v="4"/>
    <x v="1711"/>
    <d v="2004-12-10T00:00:00"/>
    <s v="Shipped"/>
    <n v="4"/>
    <n v="12"/>
    <x v="1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371"/>
    <n v="45"/>
    <n v="100"/>
    <n v="8"/>
    <x v="1712"/>
    <d v="2005-01-23T00:00:00"/>
    <s v="Shipped"/>
    <n v="1"/>
    <n v="1"/>
    <x v="2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3"/>
    <n v="40"/>
    <n v="100"/>
    <n v="3"/>
    <x v="1713"/>
    <d v="2005-02-22T00:00:00"/>
    <s v="Shipped"/>
    <n v="1"/>
    <n v="2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Medium"/>
  </r>
  <r>
    <n v="10394"/>
    <n v="46"/>
    <n v="38.9"/>
    <n v="6"/>
    <x v="1714"/>
    <d v="2005-03-15T00:00:00"/>
    <s v="Shipped"/>
    <n v="1"/>
    <n v="3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30"/>
    <n v="36.07"/>
    <n v="6"/>
    <x v="1715"/>
    <d v="2005-05-03T00:00:00"/>
    <s v="Shipped"/>
    <n v="2"/>
    <n v="5"/>
    <x v="2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31"/>
    <n v="33.24"/>
    <n v="5"/>
    <x v="1702"/>
    <d v="2005-05-31T00:00:00"/>
    <s v="In Process"/>
    <n v="2"/>
    <n v="5"/>
    <x v="2"/>
    <x v="1"/>
    <n v="35"/>
    <s v="S24_2840"/>
    <s v="La Rochelle Gifts"/>
    <s v="40.67.8555"/>
    <s v="67, rue des Cinquante Otages"/>
    <m/>
    <s v="Nantes"/>
    <m/>
    <n v="44000"/>
    <x v="1"/>
    <s v="EMEA"/>
    <s v="Labrune"/>
    <s v="Janine"/>
    <s v="Small"/>
  </r>
  <r>
    <n v="10106"/>
    <n v="49"/>
    <n v="74.680000000000007"/>
    <n v="13"/>
    <x v="1716"/>
    <d v="2003-02-17T00:00:00"/>
    <s v="Shipped"/>
    <n v="1"/>
    <n v="2"/>
    <x v="0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41"/>
    <n v="59.6"/>
    <n v="4"/>
    <x v="1717"/>
    <d v="2003-04-28T00:00:00"/>
    <s v="Shipped"/>
    <n v="2"/>
    <n v="4"/>
    <x v="0"/>
    <x v="4"/>
    <n v="68"/>
    <s v="S24_2841"/>
    <s v="Salzburg Collectables"/>
    <s v="6562-9555"/>
    <s v="Geislweg 14"/>
    <m/>
    <s v="Salzburg"/>
    <m/>
    <n v="5020"/>
    <x v="5"/>
    <s v="EMEA"/>
    <s v="Pipps"/>
    <s v="Georg"/>
    <s v="Small"/>
  </r>
  <r>
    <n v="10131"/>
    <n v="35"/>
    <n v="67.14"/>
    <n v="5"/>
    <x v="1718"/>
    <d v="2003-06-16T00:00:00"/>
    <s v="Shipped"/>
    <n v="2"/>
    <n v="6"/>
    <x v="0"/>
    <x v="4"/>
    <n v="68"/>
    <s v="S24_2841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27"/>
    <n v="60.97"/>
    <n v="8"/>
    <x v="1719"/>
    <d v="2003-08-10T00:00:00"/>
    <s v="Shipped"/>
    <n v="3"/>
    <n v="8"/>
    <x v="0"/>
    <x v="4"/>
    <n v="68"/>
    <s v="S24_2841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23"/>
    <n v="72.62"/>
    <n v="6"/>
    <x v="1720"/>
    <d v="2003-10-06T00:00:00"/>
    <s v="Shipped"/>
    <n v="4"/>
    <n v="10"/>
    <x v="0"/>
    <x v="4"/>
    <n v="68"/>
    <s v="S24_2841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1"/>
    <n v="69.88"/>
    <n v="2"/>
    <x v="1721"/>
    <d v="2003-10-23T00:00:00"/>
    <s v="Cancelled"/>
    <n v="4"/>
    <n v="10"/>
    <x v="0"/>
    <x v="4"/>
    <n v="68"/>
    <s v="S24_2841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34"/>
    <n v="80.84"/>
    <n v="5"/>
    <x v="1722"/>
    <d v="2003-11-08T00:00:00"/>
    <s v="Shipped"/>
    <n v="4"/>
    <n v="11"/>
    <x v="0"/>
    <x v="4"/>
    <n v="68"/>
    <s v="S24_2841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2"/>
    <n v="69.2"/>
    <n v="2"/>
    <x v="1723"/>
    <d v="2003-11-14T00:00:00"/>
    <s v="Shipped"/>
    <n v="4"/>
    <n v="11"/>
    <x v="0"/>
    <x v="4"/>
    <n v="68"/>
    <s v="S24_2841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8"/>
    <n v="48"/>
    <n v="67.819999999999993"/>
    <n v="5"/>
    <x v="1724"/>
    <d v="2003-11-27T00:00:00"/>
    <s v="Shipped"/>
    <n v="4"/>
    <n v="11"/>
    <x v="0"/>
    <x v="4"/>
    <n v="68"/>
    <s v="S24_2841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209"/>
    <n v="43"/>
    <n v="82.21"/>
    <n v="1"/>
    <x v="1725"/>
    <d v="2004-01-09T00:00:00"/>
    <s v="Shipped"/>
    <n v="1"/>
    <n v="1"/>
    <x v="1"/>
    <x v="4"/>
    <n v="68"/>
    <s v="S24_2841"/>
    <s v="Men 'R' US Retailers, Ltd."/>
    <n v="2155554369"/>
    <s v="6047 Douglas Av."/>
    <m/>
    <s v="Los Angeles"/>
    <s v="CA"/>
    <m/>
    <x v="0"/>
    <s v="NA"/>
    <s v="Chandler"/>
    <s v="Michael"/>
    <s v="Medium"/>
  </r>
  <r>
    <n v="10222"/>
    <n v="32"/>
    <n v="81.53"/>
    <n v="5"/>
    <x v="1726"/>
    <d v="2004-02-19T00:00:00"/>
    <s v="Shipped"/>
    <n v="1"/>
    <n v="2"/>
    <x v="1"/>
    <x v="4"/>
    <n v="68"/>
    <s v="S24_2841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20"/>
    <n v="67.819999999999993"/>
    <n v="1"/>
    <x v="1727"/>
    <d v="2004-05-08T00:00:00"/>
    <s v="Shipped"/>
    <n v="2"/>
    <n v="5"/>
    <x v="1"/>
    <x v="4"/>
    <n v="68"/>
    <s v="S24_2841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24"/>
    <n v="67.14"/>
    <n v="10"/>
    <x v="1728"/>
    <d v="2004-06-24T00:00:00"/>
    <s v="Cancelled"/>
    <n v="2"/>
    <n v="6"/>
    <x v="1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s v="Small"/>
  </r>
  <r>
    <n v="10274"/>
    <n v="40"/>
    <n v="65.08"/>
    <n v="2"/>
    <x v="1729"/>
    <d v="2004-07-21T00:00:00"/>
    <s v="Shipped"/>
    <n v="3"/>
    <n v="7"/>
    <x v="1"/>
    <x v="4"/>
    <n v="68"/>
    <s v="S24_2841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4"/>
    <n v="30"/>
    <n v="73.989999999999995"/>
    <n v="12"/>
    <x v="1730"/>
    <d v="2004-08-21T00:00:00"/>
    <s v="Shipped"/>
    <n v="3"/>
    <n v="8"/>
    <x v="1"/>
    <x v="4"/>
    <n v="68"/>
    <s v="S24_284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1"/>
    <n v="71.25"/>
    <n v="8"/>
    <x v="1731"/>
    <d v="2004-09-15T00:00:00"/>
    <s v="Shipped"/>
    <n v="3"/>
    <n v="9"/>
    <x v="1"/>
    <x v="4"/>
    <n v="68"/>
    <s v="S24_2841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5"/>
    <n v="75.36"/>
    <n v="2"/>
    <x v="1732"/>
    <d v="2004-10-14T00:00:00"/>
    <s v="Shipped"/>
    <n v="4"/>
    <n v="10"/>
    <x v="1"/>
    <x v="4"/>
    <n v="68"/>
    <s v="S24_2841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63.71"/>
    <n v="10"/>
    <x v="1733"/>
    <d v="2004-11-01T00:00:00"/>
    <s v="Shipped"/>
    <n v="4"/>
    <n v="11"/>
    <x v="1"/>
    <x v="4"/>
    <n v="68"/>
    <s v="S24_284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48"/>
    <n v="58.92"/>
    <n v="1"/>
    <x v="1734"/>
    <d v="2004-11-12T00:00:00"/>
    <s v="Shipped"/>
    <n v="4"/>
    <n v="11"/>
    <x v="1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55"/>
    <n v="100"/>
    <n v="12"/>
    <x v="1735"/>
    <d v="2004-11-23T00:00:00"/>
    <s v="Shipped"/>
    <n v="4"/>
    <n v="11"/>
    <x v="1"/>
    <x v="4"/>
    <n v="68"/>
    <s v="S24_2841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1"/>
    <n v="25"/>
    <n v="74.680000000000007"/>
    <n v="5"/>
    <x v="1736"/>
    <d v="2004-12-03T00:00:00"/>
    <s v="Shipped"/>
    <n v="4"/>
    <n v="12"/>
    <x v="1"/>
    <x v="4"/>
    <n v="68"/>
    <s v="S24_2841"/>
    <s v="Stylish Desk Decors, Co."/>
    <s v="(171) 555-0297"/>
    <s v="35 King George"/>
    <m/>
    <s v="London"/>
    <m/>
    <s v="WX3 6FW"/>
    <x v="6"/>
    <s v="EMEA"/>
    <s v="Brown"/>
    <s v="Ann"/>
    <s v="Small"/>
  </r>
  <r>
    <n v="10373"/>
    <n v="38"/>
    <n v="70.44"/>
    <n v="7"/>
    <x v="1737"/>
    <d v="2005-01-31T00:00:00"/>
    <s v="Shipped"/>
    <n v="1"/>
    <n v="1"/>
    <x v="2"/>
    <x v="4"/>
    <n v="68"/>
    <s v="S24_2841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9"/>
    <n v="55.96"/>
    <n v="1"/>
    <x v="1738"/>
    <d v="2005-03-01T00:00:00"/>
    <s v="Resolved"/>
    <n v="1"/>
    <n v="3"/>
    <x v="2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28"/>
    <n v="57.55"/>
    <n v="3"/>
    <x v="565"/>
    <d v="2005-03-30T00:00:00"/>
    <s v="Shipped"/>
    <n v="1"/>
    <n v="3"/>
    <x v="2"/>
    <x v="4"/>
    <n v="68"/>
    <s v="S24_2841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24"/>
    <n v="61.66"/>
    <n v="2"/>
    <x v="1739"/>
    <d v="2005-04-01T00:00:00"/>
    <s v="Shipped"/>
    <n v="2"/>
    <n v="4"/>
    <x v="2"/>
    <x v="4"/>
    <n v="68"/>
    <s v="S24_2841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21"/>
    <n v="67.819999999999993"/>
    <n v="1"/>
    <x v="1740"/>
    <d v="2005-05-09T00:00:00"/>
    <s v="Disputed"/>
    <n v="2"/>
    <n v="5"/>
    <x v="2"/>
    <x v="4"/>
    <n v="68"/>
    <s v="S24_2841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10"/>
    <n v="46"/>
    <n v="100"/>
    <n v="10"/>
    <x v="1741"/>
    <d v="2003-03-18T00:00:00"/>
    <s v="Shipped"/>
    <n v="1"/>
    <n v="3"/>
    <x v="0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25"/>
    <n v="93.95"/>
    <n v="9"/>
    <x v="1742"/>
    <d v="2003-05-21T00:00:00"/>
    <s v="Shipped"/>
    <n v="2"/>
    <n v="5"/>
    <x v="0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s v="Small"/>
  </r>
  <r>
    <n v="10148"/>
    <n v="34"/>
    <n v="100"/>
    <n v="3"/>
    <x v="1743"/>
    <d v="2003-09-11T00:00:00"/>
    <s v="Shipped"/>
    <n v="3"/>
    <n v="9"/>
    <x v="0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25"/>
    <n v="100"/>
    <n v="2"/>
    <x v="1744"/>
    <d v="2003-10-17T00:00:00"/>
    <s v="Shipped"/>
    <n v="4"/>
    <n v="10"/>
    <x v="0"/>
    <x v="1"/>
    <n v="117"/>
    <s v="S24_2887"/>
    <s v="Heintze Collectables"/>
    <s v="86 21 3555"/>
    <s v="Smagsloget 45"/>
    <m/>
    <s v="Aaarhus"/>
    <m/>
    <n v="8200"/>
    <x v="13"/>
    <s v="EMEA"/>
    <s v="Ibsen"/>
    <s v="Palle"/>
    <s v="Small"/>
  </r>
  <r>
    <n v="10173"/>
    <n v="23"/>
    <n v="100"/>
    <n v="16"/>
    <x v="1745"/>
    <d v="2003-11-05T00:00:00"/>
    <s v="Shipped"/>
    <n v="4"/>
    <n v="11"/>
    <x v="0"/>
    <x v="1"/>
    <n v="117"/>
    <s v="S24_2887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20"/>
    <n v="100"/>
    <n v="13"/>
    <x v="1746"/>
    <d v="2003-11-12T00:00:00"/>
    <s v="Shipped"/>
    <n v="4"/>
    <n v="11"/>
    <x v="0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2"/>
    <n v="23"/>
    <n v="100"/>
    <n v="1"/>
    <x v="1747"/>
    <d v="2003-11-20T00:00:00"/>
    <s v="Shipped"/>
    <n v="4"/>
    <n v="11"/>
    <x v="0"/>
    <x v="1"/>
    <n v="117"/>
    <s v="S24_2887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2"/>
    <n v="100"/>
    <n v="7"/>
    <x v="1748"/>
    <d v="2003-12-02T00:00:00"/>
    <s v="Shipped"/>
    <n v="4"/>
    <n v="12"/>
    <x v="0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3"/>
    <n v="27"/>
    <n v="100"/>
    <n v="3"/>
    <x v="1749"/>
    <d v="2004-01-22T00:00:00"/>
    <s v="Shipped"/>
    <n v="1"/>
    <n v="1"/>
    <x v="1"/>
    <x v="1"/>
    <n v="117"/>
    <s v="S24_2887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227"/>
    <n v="33"/>
    <n v="100"/>
    <n v="13"/>
    <x v="1750"/>
    <d v="2004-03-02T00:00:00"/>
    <s v="Shipped"/>
    <n v="1"/>
    <n v="3"/>
    <x v="1"/>
    <x v="1"/>
    <n v="117"/>
    <s v="S24_2887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28"/>
    <n v="98.65"/>
    <n v="5"/>
    <x v="1751"/>
    <d v="2004-04-13T00:00:00"/>
    <s v="Shipped"/>
    <n v="2"/>
    <n v="4"/>
    <x v="1"/>
    <x v="1"/>
    <n v="117"/>
    <s v="S24_2887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2"/>
    <x v="1752"/>
    <d v="2004-07-07T00:00:00"/>
    <s v="Shipped"/>
    <n v="3"/>
    <n v="7"/>
    <x v="1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2"/>
    <x v="1753"/>
    <d v="2004-08-09T00:00:00"/>
    <s v="Shipped"/>
    <n v="3"/>
    <n v="8"/>
    <x v="1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48"/>
    <n v="100"/>
    <n v="8"/>
    <x v="1754"/>
    <d v="2004-09-01T00:00:00"/>
    <s v="Shipped"/>
    <n v="3"/>
    <n v="9"/>
    <x v="1"/>
    <x v="1"/>
    <n v="117"/>
    <s v="S24_2887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2"/>
    <n v="45"/>
    <n v="100"/>
    <n v="4"/>
    <x v="1755"/>
    <d v="2003-10-06T00:00:00"/>
    <s v="Shipped"/>
    <n v="4"/>
    <n v="10"/>
    <x v="0"/>
    <x v="1"/>
    <n v="117"/>
    <s v="S24_2887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43"/>
    <n v="100"/>
    <n v="3"/>
    <x v="1756"/>
    <d v="2004-10-16T00:00:00"/>
    <s v="Shipped"/>
    <n v="4"/>
    <n v="10"/>
    <x v="1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s v="Medium"/>
  </r>
  <r>
    <n v="10332"/>
    <n v="44"/>
    <n v="42.26"/>
    <n v="11"/>
    <x v="1757"/>
    <d v="2004-11-17T00:00:00"/>
    <s v="Shipped"/>
    <n v="4"/>
    <n v="11"/>
    <x v="1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87.24"/>
    <n v="5"/>
    <x v="1758"/>
    <d v="2004-11-29T00:00:00"/>
    <s v="Shipped"/>
    <n v="4"/>
    <n v="11"/>
    <x v="1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31"/>
    <n v="100"/>
    <n v="5"/>
    <x v="1759"/>
    <d v="2005-01-19T00:00:00"/>
    <s v="Shipped"/>
    <n v="1"/>
    <n v="1"/>
    <x v="2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44"/>
    <n v="36.29"/>
    <n v="7"/>
    <x v="1760"/>
    <d v="2005-02-16T00:00:00"/>
    <s v="Shipped"/>
    <n v="1"/>
    <n v="2"/>
    <x v="2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s v="Small"/>
  </r>
  <r>
    <n v="10407"/>
    <n v="59"/>
    <n v="98.65"/>
    <n v="5"/>
    <x v="1761"/>
    <d v="2005-04-22T00:00:00"/>
    <s v="On Hold"/>
    <n v="2"/>
    <n v="4"/>
    <x v="2"/>
    <x v="1"/>
    <n v="117"/>
    <s v="S24_2887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55"/>
    <n v="96.3"/>
    <n v="8"/>
    <x v="1762"/>
    <d v="2005-05-29T00:00:00"/>
    <s v="In Process"/>
    <n v="2"/>
    <n v="5"/>
    <x v="2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9"/>
    <n v="29"/>
    <n v="32.1"/>
    <n v="6"/>
    <x v="1763"/>
    <d v="2003-03-10T00:00:00"/>
    <s v="Shipped"/>
    <n v="1"/>
    <n v="3"/>
    <x v="0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122"/>
    <n v="39"/>
    <n v="30.96"/>
    <n v="4"/>
    <x v="1764"/>
    <d v="2003-05-08T00:00:00"/>
    <s v="Shipped"/>
    <n v="2"/>
    <n v="5"/>
    <x v="0"/>
    <x v="1"/>
    <n v="37"/>
    <s v="S24_2972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0"/>
    <n v="35.869999999999997"/>
    <n v="1"/>
    <x v="1765"/>
    <d v="2003-07-02T00:00:00"/>
    <s v="Shipped"/>
    <n v="3"/>
    <n v="7"/>
    <x v="0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25"/>
    <n v="42.67"/>
    <n v="1"/>
    <x v="1766"/>
    <d v="2003-09-05T00:00:00"/>
    <s v="Shipped"/>
    <n v="3"/>
    <n v="9"/>
    <x v="0"/>
    <x v="1"/>
    <n v="37"/>
    <s v="S24_2972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42"/>
    <n v="37"/>
    <n v="2"/>
    <x v="1767"/>
    <d v="2003-10-11T00:00:00"/>
    <s v="Shipped"/>
    <n v="4"/>
    <n v="10"/>
    <x v="0"/>
    <x v="1"/>
    <n v="37"/>
    <s v="S24_2972"/>
    <s v="Men 'R' US Retailers, Ltd."/>
    <n v="2155554369"/>
    <s v="6047 Douglas Av."/>
    <m/>
    <s v="Los Angeles"/>
    <s v="CA"/>
    <m/>
    <x v="0"/>
    <s v="NA"/>
    <s v="Chandler"/>
    <s v="Michael"/>
    <s v="Small"/>
  </r>
  <r>
    <n v="10171"/>
    <n v="36"/>
    <n v="35.49"/>
    <n v="4"/>
    <x v="1768"/>
    <d v="2003-11-05T00:00:00"/>
    <s v="Shipped"/>
    <n v="4"/>
    <n v="11"/>
    <x v="0"/>
    <x v="1"/>
    <n v="37"/>
    <s v="S24_297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181"/>
    <n v="37"/>
    <n v="42.67"/>
    <n v="8"/>
    <x v="1769"/>
    <d v="2003-11-12T00:00:00"/>
    <s v="Shipped"/>
    <n v="4"/>
    <n v="11"/>
    <x v="0"/>
    <x v="1"/>
    <n v="37"/>
    <s v="S24_2972"/>
    <s v="Herkku Gifts"/>
    <s v="+47 2267 3215"/>
    <s v="Drammen 121, PR 744 Sentrum"/>
    <m/>
    <s v="Bergen"/>
    <m/>
    <s v="N 5804"/>
    <x v="2"/>
    <s v="EMEA"/>
    <s v="Oeztan"/>
    <s v="Veysel"/>
    <s v="Small"/>
  </r>
  <r>
    <n v="10192"/>
    <n v="30"/>
    <n v="30.59"/>
    <n v="13"/>
    <x v="1770"/>
    <d v="2003-11-20T00:00:00"/>
    <s v="Shipped"/>
    <n v="4"/>
    <n v="11"/>
    <x v="0"/>
    <x v="1"/>
    <n v="37"/>
    <s v="S24_2972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3"/>
    <n v="21"/>
    <n v="37"/>
    <n v="2"/>
    <x v="1771"/>
    <d v="2003-12-02T00:00:00"/>
    <s v="Shipped"/>
    <n v="4"/>
    <n v="12"/>
    <x v="0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Small"/>
  </r>
  <r>
    <n v="10212"/>
    <n v="34"/>
    <n v="43.42"/>
    <n v="12"/>
    <x v="1772"/>
    <d v="2004-01-16T00:00:00"/>
    <s v="Shipped"/>
    <n v="1"/>
    <n v="1"/>
    <x v="1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Small"/>
  </r>
  <r>
    <n v="10225"/>
    <n v="42"/>
    <n v="36.630000000000003"/>
    <n v="3"/>
    <x v="1773"/>
    <d v="2004-02-22T00:00:00"/>
    <s v="Shipped"/>
    <n v="1"/>
    <n v="2"/>
    <x v="1"/>
    <x v="1"/>
    <n v="37"/>
    <s v="S24_2972"/>
    <s v="Vida Sport, Ltd"/>
    <s v="0897-034555"/>
    <s v="Grenzacherweg 237"/>
    <m/>
    <s v="Gensve"/>
    <m/>
    <n v="1203"/>
    <x v="17"/>
    <s v="EMEA"/>
    <s v="Holz"/>
    <s v="Michael"/>
    <s v="Small"/>
  </r>
  <r>
    <n v="10239"/>
    <n v="20"/>
    <n v="44.56"/>
    <n v="2"/>
    <x v="1774"/>
    <d v="2004-04-12T00:00:00"/>
    <s v="Shipped"/>
    <n v="2"/>
    <n v="4"/>
    <x v="1"/>
    <x v="1"/>
    <n v="37"/>
    <s v="S24_2972"/>
    <s v="Oulu Toy Supplies, Inc."/>
    <s v="981-443655"/>
    <s v="Torikatu 38"/>
    <m/>
    <s v="Oulu"/>
    <m/>
    <n v="90110"/>
    <x v="4"/>
    <s v="EMEA"/>
    <s v="Koskitalo"/>
    <s v="Pirkko"/>
    <s v="Small"/>
  </r>
  <r>
    <n v="10253"/>
    <n v="40"/>
    <n v="42.67"/>
    <n v="7"/>
    <x v="1775"/>
    <d v="2004-06-01T00:00:00"/>
    <s v="Cancelled"/>
    <n v="2"/>
    <n v="6"/>
    <x v="1"/>
    <x v="1"/>
    <n v="37"/>
    <s v="S24_2972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34"/>
    <n v="40.4"/>
    <n v="8"/>
    <x v="1776"/>
    <d v="2004-07-06T00:00:00"/>
    <s v="Shipped"/>
    <n v="3"/>
    <n v="7"/>
    <x v="1"/>
    <x v="1"/>
    <n v="37"/>
    <s v="S24_2972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31"/>
    <n v="38.89"/>
    <n v="8"/>
    <x v="1777"/>
    <d v="2004-08-06T00:00:00"/>
    <s v="Shipped"/>
    <n v="3"/>
    <n v="8"/>
    <x v="1"/>
    <x v="1"/>
    <n v="37"/>
    <s v="S24_2972"/>
    <s v="Signal Gift Stores"/>
    <n v="7025551838"/>
    <s v="8489 Strong St."/>
    <m/>
    <s v="Las Vegas"/>
    <s v="NV"/>
    <n v="83030"/>
    <x v="0"/>
    <s v="NA"/>
    <s v="King"/>
    <s v="Sue"/>
    <s v="Small"/>
  </r>
  <r>
    <n v="10287"/>
    <n v="36"/>
    <n v="39.65"/>
    <n v="6"/>
    <x v="1778"/>
    <d v="2004-08-30T00:00:00"/>
    <s v="Shipped"/>
    <n v="3"/>
    <n v="8"/>
    <x v="1"/>
    <x v="1"/>
    <n v="37"/>
    <s v="S24_2972"/>
    <s v="Vida Sport, Ltd"/>
    <s v="0897-034555"/>
    <s v="Grenzacherweg 237"/>
    <m/>
    <s v="Gensve"/>
    <m/>
    <n v="1203"/>
    <x v="17"/>
    <s v="EMEA"/>
    <s v="Holz"/>
    <s v="Michael"/>
    <s v="Small"/>
  </r>
  <r>
    <n v="10301"/>
    <n v="48"/>
    <n v="34.36"/>
    <n v="10"/>
    <x v="1779"/>
    <d v="2003-10-05T00:00:00"/>
    <s v="Shipped"/>
    <n v="4"/>
    <n v="10"/>
    <x v="0"/>
    <x v="1"/>
    <n v="37"/>
    <s v="S24_2972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0"/>
    <n v="33"/>
    <n v="41.91"/>
    <n v="4"/>
    <x v="1780"/>
    <d v="2004-10-16T00:00:00"/>
    <s v="Shipped"/>
    <n v="4"/>
    <n v="10"/>
    <x v="1"/>
    <x v="1"/>
    <n v="37"/>
    <s v="S24_2972"/>
    <s v="Toms Spezialitten, Ltd"/>
    <s v="0221-5554327"/>
    <s v="Mehrheimerstr. 369"/>
    <m/>
    <s v="Koln"/>
    <m/>
    <n v="50739"/>
    <x v="16"/>
    <s v="EMEA"/>
    <s v="Pfalzheim"/>
    <s v="Henriette"/>
    <s v="Small"/>
  </r>
  <r>
    <n v="10321"/>
    <n v="37"/>
    <n v="33.229999999999997"/>
    <n v="12"/>
    <x v="1781"/>
    <d v="2004-11-04T00:00:00"/>
    <s v="Shipped"/>
    <n v="4"/>
    <n v="11"/>
    <x v="1"/>
    <x v="1"/>
    <n v="37"/>
    <s v="S24_2972"/>
    <s v="FunGiftIdeas.com"/>
    <n v="5085552555"/>
    <s v="1785 First Street"/>
    <m/>
    <s v="New Bedford"/>
    <s v="MA"/>
    <n v="50553"/>
    <x v="0"/>
    <s v="NA"/>
    <s v="Benitez"/>
    <s v="Violeta"/>
    <s v="Small"/>
  </r>
  <r>
    <n v="10331"/>
    <n v="27"/>
    <n v="42.24"/>
    <n v="13"/>
    <x v="1782"/>
    <d v="2004-11-17T00:00:00"/>
    <s v="Shipped"/>
    <n v="4"/>
    <n v="11"/>
    <x v="1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s v="Small"/>
  </r>
  <r>
    <n v="10342"/>
    <n v="39"/>
    <n v="40.4"/>
    <n v="9"/>
    <x v="1783"/>
    <d v="2004-11-24T00:00:00"/>
    <s v="Shipped"/>
    <n v="4"/>
    <n v="11"/>
    <x v="1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36"/>
    <n v="38.520000000000003"/>
    <n v="4"/>
    <x v="1784"/>
    <d v="2004-12-07T00:00:00"/>
    <s v="Shipped"/>
    <n v="4"/>
    <n v="12"/>
    <x v="1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Small"/>
  </r>
  <r>
    <n v="10367"/>
    <n v="36"/>
    <n v="100"/>
    <n v="2"/>
    <x v="1785"/>
    <d v="2005-01-12T00:00:00"/>
    <s v="Resolved"/>
    <n v="1"/>
    <n v="1"/>
    <x v="2"/>
    <x v="1"/>
    <n v="37"/>
    <s v="S24_2972"/>
    <s v="Toys4GrownUps.com"/>
    <n v="6265557265"/>
    <s v="78934 Hillside Dr."/>
    <m/>
    <s v="Pasadena"/>
    <s v="CA"/>
    <n v="90003"/>
    <x v="0"/>
    <s v="NA"/>
    <s v="Young"/>
    <s v="Julie"/>
    <s v="Medium"/>
  </r>
  <r>
    <n v="10378"/>
    <n v="41"/>
    <n v="100"/>
    <n v="7"/>
    <x v="1786"/>
    <d v="2005-02-10T00:00:00"/>
    <s v="Shipped"/>
    <n v="1"/>
    <n v="2"/>
    <x v="2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7"/>
    <n v="100"/>
    <n v="5"/>
    <x v="1787"/>
    <d v="2005-03-04T00:00:00"/>
    <s v="Shipped"/>
    <n v="1"/>
    <n v="3"/>
    <x v="2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5"/>
    <n v="47"/>
    <n v="44.56"/>
    <n v="2"/>
    <x v="1788"/>
    <d v="2005-04-14T00:00:00"/>
    <s v="Shipped"/>
    <n v="2"/>
    <n v="4"/>
    <x v="2"/>
    <x v="1"/>
    <n v="37"/>
    <s v="S24_2972"/>
    <s v="Mini Caravy"/>
    <s v="88.60.1555"/>
    <s v="24, place Kluber"/>
    <m/>
    <s v="Strasbourg"/>
    <m/>
    <n v="67000"/>
    <x v="1"/>
    <s v="EMEA"/>
    <s v="Citeaux"/>
    <s v="Frederique"/>
    <s v="Small"/>
  </r>
  <r>
    <n v="10419"/>
    <n v="15"/>
    <n v="42.67"/>
    <n v="7"/>
    <x v="1789"/>
    <d v="2005-05-17T00:00:00"/>
    <s v="Shipped"/>
    <n v="2"/>
    <n v="5"/>
    <x v="2"/>
    <x v="1"/>
    <n v="37"/>
    <s v="S24_2972"/>
    <s v="Salzburg Collectables"/>
    <s v="6562-9555"/>
    <s v="Geislweg 14"/>
    <m/>
    <s v="Salzburg"/>
    <m/>
    <n v="5020"/>
    <x v="5"/>
    <s v="EMEA"/>
    <s v="Pipps"/>
    <s v="Georg"/>
    <s v="Small"/>
  </r>
  <r>
    <n v="10105"/>
    <n v="44"/>
    <n v="72.58"/>
    <n v="4"/>
    <x v="1790"/>
    <d v="2003-02-11T00:00:00"/>
    <s v="Shipped"/>
    <n v="1"/>
    <n v="2"/>
    <x v="0"/>
    <x v="3"/>
    <n v="88"/>
    <s v="S24_3151"/>
    <s v="Danish Wholesale Imports"/>
    <s v="31 12 3555"/>
    <s v="Vinb'ltet 34"/>
    <m/>
    <s v="Kobenhavn"/>
    <m/>
    <n v="1734"/>
    <x v="13"/>
    <s v="EMEA"/>
    <s v="Petersen"/>
    <s v="Jytte"/>
    <s v="Medium"/>
  </r>
  <r>
    <n v="10119"/>
    <n v="35"/>
    <n v="87.62"/>
    <n v="13"/>
    <x v="1791"/>
    <d v="2003-04-28T00:00:00"/>
    <s v="Shipped"/>
    <n v="2"/>
    <n v="4"/>
    <x v="0"/>
    <x v="3"/>
    <n v="88"/>
    <s v="S24_3151"/>
    <s v="Salzburg Collectables"/>
    <s v="6562-9555"/>
    <s v="Geislweg 14"/>
    <m/>
    <s v="Salzburg"/>
    <m/>
    <n v="5020"/>
    <x v="5"/>
    <s v="EMEA"/>
    <s v="Pipps"/>
    <s v="Georg"/>
    <s v="Medium"/>
  </r>
  <r>
    <n v="10129"/>
    <n v="41"/>
    <n v="94.71"/>
    <n v="4"/>
    <x v="1792"/>
    <d v="2003-06-12T00:00:00"/>
    <s v="Shipped"/>
    <n v="2"/>
    <n v="6"/>
    <x v="0"/>
    <x v="3"/>
    <n v="88"/>
    <s v="S24_3151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49"/>
    <n v="98.25"/>
    <n v="1"/>
    <x v="1793"/>
    <d v="2003-08-08T00:00:00"/>
    <s v="Shipped"/>
    <n v="3"/>
    <n v="8"/>
    <x v="0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4"/>
    <n v="31"/>
    <n v="91.17"/>
    <n v="2"/>
    <x v="1794"/>
    <d v="2003-10-02T00:00:00"/>
    <s v="Shipped"/>
    <n v="4"/>
    <n v="10"/>
    <x v="0"/>
    <x v="3"/>
    <n v="88"/>
    <s v="S24_3151"/>
    <s v="Boards &amp; Toys Co."/>
    <n v="3105552373"/>
    <s v="4097 Douglas Av."/>
    <m/>
    <s v="Glendale"/>
    <s v="CA"/>
    <n v="92561"/>
    <x v="0"/>
    <s v="NA"/>
    <s v="Young"/>
    <s v="Leslie"/>
    <s v="Small"/>
  </r>
  <r>
    <n v="10167"/>
    <n v="20"/>
    <n v="79.66"/>
    <n v="11"/>
    <x v="1795"/>
    <d v="2003-10-23T00:00:00"/>
    <s v="Cancelled"/>
    <n v="4"/>
    <n v="10"/>
    <x v="0"/>
    <x v="3"/>
    <n v="88"/>
    <s v="S24_3151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5"/>
    <n v="72.58"/>
    <n v="2"/>
    <x v="1796"/>
    <d v="2003-11-07T00:00:00"/>
    <s v="Shipped"/>
    <n v="4"/>
    <n v="11"/>
    <x v="0"/>
    <x v="3"/>
    <n v="88"/>
    <s v="S24_3151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3"/>
    <n v="74.349999999999994"/>
    <n v="2"/>
    <x v="1797"/>
    <d v="2003-11-14T00:00:00"/>
    <s v="Shipped"/>
    <n v="4"/>
    <n v="11"/>
    <x v="0"/>
    <x v="3"/>
    <n v="88"/>
    <s v="S24_3151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47"/>
    <n v="83.2"/>
    <n v="8"/>
    <x v="1798"/>
    <d v="2003-11-26T00:00:00"/>
    <s v="Shipped"/>
    <n v="4"/>
    <n v="11"/>
    <x v="0"/>
    <x v="3"/>
    <n v="88"/>
    <s v="S24_3151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20"/>
    <n v="89.4"/>
    <n v="2"/>
    <x v="1799"/>
    <d v="2004-01-02T00:00:00"/>
    <s v="Shipped"/>
    <n v="1"/>
    <n v="1"/>
    <x v="1"/>
    <x v="3"/>
    <n v="88"/>
    <s v="S24_3151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47"/>
    <n v="70.81"/>
    <n v="14"/>
    <x v="1800"/>
    <d v="2004-02-19T00:00:00"/>
    <s v="Shipped"/>
    <n v="1"/>
    <n v="2"/>
    <x v="1"/>
    <x v="3"/>
    <n v="88"/>
    <s v="S24_3151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3"/>
    <n v="40"/>
    <n v="94.71"/>
    <n v="2"/>
    <x v="607"/>
    <d v="2004-03-29T00:00:00"/>
    <s v="Shipped"/>
    <n v="1"/>
    <n v="3"/>
    <x v="1"/>
    <x v="3"/>
    <n v="88"/>
    <s v="S24_3151"/>
    <s v="Tekni Collectables Inc."/>
    <n v="2015559350"/>
    <s v="7476 Moss Rd."/>
    <m/>
    <s v="Newark"/>
    <s v="NJ"/>
    <n v="94019"/>
    <x v="0"/>
    <s v="NA"/>
    <s v="Brown"/>
    <s v="William"/>
    <s v="Medium"/>
  </r>
  <r>
    <n v="10248"/>
    <n v="30"/>
    <n v="100"/>
    <n v="5"/>
    <x v="1801"/>
    <d v="2004-05-07T00:00:00"/>
    <s v="Cancelled"/>
    <n v="2"/>
    <n v="5"/>
    <x v="1"/>
    <x v="3"/>
    <n v="88"/>
    <s v="S24_3151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2"/>
    <n v="91.17"/>
    <n v="3"/>
    <x v="1802"/>
    <d v="2004-06-17T00:00:00"/>
    <s v="Shipped"/>
    <n v="2"/>
    <n v="6"/>
    <x v="1"/>
    <x v="3"/>
    <n v="88"/>
    <s v="S24_3151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27"/>
    <n v="100"/>
    <n v="6"/>
    <x v="1803"/>
    <d v="2004-07-21T00:00:00"/>
    <s v="Shipped"/>
    <n v="3"/>
    <n v="7"/>
    <x v="1"/>
    <x v="3"/>
    <n v="88"/>
    <s v="S24_3151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4"/>
    <n v="92.94"/>
    <n v="8"/>
    <x v="1804"/>
    <d v="2004-08-20T00:00:00"/>
    <s v="Shipped"/>
    <n v="3"/>
    <n v="8"/>
    <x v="1"/>
    <x v="3"/>
    <n v="88"/>
    <s v="S24_3151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46"/>
    <n v="84.97"/>
    <n v="3"/>
    <x v="1805"/>
    <d v="2004-09-10T00:00:00"/>
    <s v="Shipped"/>
    <n v="3"/>
    <n v="9"/>
    <x v="1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s v="Medium"/>
  </r>
  <r>
    <n v="10306"/>
    <n v="31"/>
    <n v="84.08"/>
    <n v="2"/>
    <x v="1806"/>
    <d v="2004-10-14T00:00:00"/>
    <s v="Shipped"/>
    <n v="4"/>
    <n v="10"/>
    <x v="1"/>
    <x v="3"/>
    <n v="88"/>
    <s v="S24_3151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24"/>
    <n v="86.74"/>
    <n v="1"/>
    <x v="1807"/>
    <d v="2004-10-29T00:00:00"/>
    <s v="Shipped"/>
    <n v="4"/>
    <n v="10"/>
    <x v="1"/>
    <x v="3"/>
    <n v="88"/>
    <s v="S24_3151"/>
    <s v="La Rochelle Gifts"/>
    <s v="40.67.8555"/>
    <s v="67, rue des Cinquante Otages"/>
    <m/>
    <s v="Nantes"/>
    <m/>
    <n v="44000"/>
    <x v="1"/>
    <s v="EMEA"/>
    <s v="Labrune"/>
    <s v="Janine"/>
    <s v="Small"/>
  </r>
  <r>
    <n v="10326"/>
    <n v="41"/>
    <n v="85.85"/>
    <n v="3"/>
    <x v="1808"/>
    <d v="2004-11-09T00:00:00"/>
    <s v="Shipped"/>
    <n v="4"/>
    <n v="11"/>
    <x v="1"/>
    <x v="3"/>
    <n v="88"/>
    <s v="S24_3151"/>
    <s v="Volvo Model Replicas, Co"/>
    <s v="0921-12 3555"/>
    <s v="Berguvsv„gen  8"/>
    <m/>
    <s v="Lule"/>
    <m/>
    <s v="S-958 22"/>
    <x v="8"/>
    <s v="EMEA"/>
    <s v="Berglund"/>
    <s v="Christina"/>
    <s v="Medium"/>
  </r>
  <r>
    <n v="10339"/>
    <n v="55"/>
    <n v="100"/>
    <n v="13"/>
    <x v="1809"/>
    <d v="2004-11-23T00:00:00"/>
    <s v="Shipped"/>
    <n v="4"/>
    <n v="11"/>
    <x v="1"/>
    <x v="3"/>
    <n v="88"/>
    <s v="S24_3151"/>
    <s v="Tokyo Collectables, Ltd"/>
    <s v="+81 3 3584 0555"/>
    <s v="2-2-8 Roppongi"/>
    <m/>
    <s v="Minato-ku"/>
    <s v="Tokyo"/>
    <s v="106-0032"/>
    <x v="11"/>
    <s v="Japan"/>
    <s v="Shimamura"/>
    <s v="Akiko"/>
    <s v="Large"/>
  </r>
  <r>
    <n v="10350"/>
    <n v="30"/>
    <n v="100"/>
    <n v="9"/>
    <x v="1810"/>
    <d v="2004-12-02T00:00:00"/>
    <s v="Shipped"/>
    <n v="4"/>
    <n v="12"/>
    <x v="1"/>
    <x v="3"/>
    <n v="88"/>
    <s v="S24_3151"/>
    <s v="Euro Shopping Channel"/>
    <s v="(91) 555 94 44"/>
    <s v="C/ Moralzarzal, 86"/>
    <m/>
    <s v="Madrid"/>
    <m/>
    <n v="28034"/>
    <x v="7"/>
    <s v="EMEA"/>
    <s v="Freyre"/>
    <s v="Diego"/>
    <s v="Medium"/>
  </r>
  <r>
    <n v="10373"/>
    <n v="33"/>
    <n v="57.32"/>
    <n v="12"/>
    <x v="1811"/>
    <d v="2005-01-31T00:00:00"/>
    <s v="Shipped"/>
    <n v="1"/>
    <n v="1"/>
    <x v="2"/>
    <x v="3"/>
    <n v="88"/>
    <s v="S24_3151"/>
    <s v="Oulu Toy Supplies, Inc."/>
    <s v="981-443655"/>
    <s v="Torikatu 38"/>
    <m/>
    <s v="Oulu"/>
    <m/>
    <n v="90110"/>
    <x v="4"/>
    <s v="EMEA"/>
    <s v="Koskitalo"/>
    <s v="Pirkko"/>
    <s v="Small"/>
  </r>
  <r>
    <n v="10384"/>
    <n v="43"/>
    <n v="97.87"/>
    <n v="2"/>
    <x v="1812"/>
    <d v="2005-02-23T00:00:00"/>
    <s v="Shipped"/>
    <n v="1"/>
    <n v="2"/>
    <x v="2"/>
    <x v="3"/>
    <n v="88"/>
    <s v="S24_3151"/>
    <s v="Corporate Gift Ideas Co."/>
    <n v="6505551386"/>
    <s v="7734 Strong St."/>
    <m/>
    <s v="San Francisco"/>
    <s v="CA"/>
    <m/>
    <x v="0"/>
    <s v="NA"/>
    <s v="Brown"/>
    <s v="Julie"/>
    <s v="Medium"/>
  </r>
  <r>
    <n v="10396"/>
    <n v="27"/>
    <n v="83.2"/>
    <n v="7"/>
    <x v="1813"/>
    <d v="2005-03-23T00:00:00"/>
    <s v="Shipped"/>
    <n v="1"/>
    <n v="3"/>
    <x v="2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60"/>
    <n v="100"/>
    <n v="5"/>
    <x v="1814"/>
    <d v="2005-05-06T00:00:00"/>
    <s v="On Hold"/>
    <n v="2"/>
    <n v="5"/>
    <x v="2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s v="Medium"/>
  </r>
  <r>
    <n v="10110"/>
    <n v="27"/>
    <n v="73.62"/>
    <n v="12"/>
    <x v="1815"/>
    <d v="2003-03-18T00:00:00"/>
    <s v="Shipped"/>
    <n v="1"/>
    <n v="3"/>
    <x v="0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9"/>
    <n v="83.04"/>
    <n v="11"/>
    <x v="1816"/>
    <d v="2003-05-21T00:00:00"/>
    <s v="Shipped"/>
    <n v="2"/>
    <n v="5"/>
    <x v="0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31"/>
    <n v="73.62"/>
    <n v="5"/>
    <x v="1817"/>
    <d v="2003-09-11T00:00:00"/>
    <s v="Shipped"/>
    <n v="3"/>
    <n v="9"/>
    <x v="0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61"/>
    <n v="20"/>
    <n v="77.05"/>
    <n v="4"/>
    <x v="1818"/>
    <d v="2003-10-17T00:00:00"/>
    <s v="Shipped"/>
    <n v="4"/>
    <n v="10"/>
    <x v="0"/>
    <x v="1"/>
    <n v="85"/>
    <s v="S24_3191"/>
    <s v="Heintze Collectables"/>
    <s v="86 21 3555"/>
    <s v="Smagsloget 45"/>
    <m/>
    <s v="Aaarhus"/>
    <m/>
    <n v="8200"/>
    <x v="13"/>
    <s v="EMEA"/>
    <s v="Ibsen"/>
    <s v="Palle"/>
    <s v="Small"/>
  </r>
  <r>
    <n v="10172"/>
    <n v="24"/>
    <n v="81.33"/>
    <n v="2"/>
    <x v="1819"/>
    <d v="2003-11-05T00:00:00"/>
    <s v="Shipped"/>
    <n v="4"/>
    <n v="11"/>
    <x v="0"/>
    <x v="1"/>
    <n v="85"/>
    <s v="S24_3191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33"/>
    <n v="94.17"/>
    <n v="15"/>
    <x v="1820"/>
    <d v="2003-11-12T00:00:00"/>
    <s v="Shipped"/>
    <n v="4"/>
    <n v="11"/>
    <x v="0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32"/>
    <n v="72.77"/>
    <n v="3"/>
    <x v="1821"/>
    <d v="2003-11-20T00:00:00"/>
    <s v="Shipped"/>
    <n v="4"/>
    <n v="11"/>
    <x v="0"/>
    <x v="1"/>
    <n v="85"/>
    <s v="S24_3191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204"/>
    <n v="40"/>
    <n v="79.62"/>
    <n v="9"/>
    <x v="1822"/>
    <d v="2003-12-02T00:00:00"/>
    <s v="Shipped"/>
    <n v="4"/>
    <n v="12"/>
    <x v="0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27"/>
    <n v="79.62"/>
    <n v="2"/>
    <x v="1823"/>
    <d v="2004-01-16T00:00:00"/>
    <s v="Shipped"/>
    <n v="1"/>
    <n v="1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Small"/>
  </r>
  <r>
    <n v="10227"/>
    <n v="40"/>
    <n v="79.62"/>
    <n v="15"/>
    <x v="1822"/>
    <d v="2004-03-02T00:00:00"/>
    <s v="Shipped"/>
    <n v="1"/>
    <n v="3"/>
    <x v="1"/>
    <x v="1"/>
    <n v="85"/>
    <s v="S24_3191"/>
    <s v="Saveley &amp; Henriot, Co."/>
    <s v="78.32.5555"/>
    <s v="2, rue du Commerce"/>
    <m/>
    <s v="Lyon"/>
    <m/>
    <n v="69004"/>
    <x v="1"/>
    <s v="EMEA"/>
    <s v="Saveley"/>
    <s v="Mary"/>
    <s v="Medium"/>
  </r>
  <r>
    <n v="10241"/>
    <n v="26"/>
    <n v="81.33"/>
    <n v="7"/>
    <x v="1824"/>
    <d v="2004-04-13T00:00:00"/>
    <s v="Shipped"/>
    <n v="2"/>
    <n v="4"/>
    <x v="1"/>
    <x v="1"/>
    <n v="85"/>
    <s v="S24_3191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4"/>
    <n v="96.74"/>
    <n v="4"/>
    <x v="1825"/>
    <d v="2004-07-07T00:00:00"/>
    <s v="Shipped"/>
    <n v="3"/>
    <n v="7"/>
    <x v="1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33"/>
    <n v="71.06"/>
    <n v="4"/>
    <x v="1826"/>
    <d v="2004-08-09T00:00:00"/>
    <s v="Shipped"/>
    <n v="3"/>
    <n v="8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Small"/>
  </r>
  <r>
    <n v="10288"/>
    <n v="34"/>
    <n v="68.489999999999995"/>
    <n v="10"/>
    <x v="1827"/>
    <d v="2004-09-01T00:00:00"/>
    <s v="Shipped"/>
    <n v="3"/>
    <n v="9"/>
    <x v="1"/>
    <x v="1"/>
    <n v="85"/>
    <s v="S24_3191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2"/>
    <n v="48"/>
    <n v="74.48"/>
    <n v="6"/>
    <x v="1828"/>
    <d v="2003-10-06T00:00:00"/>
    <s v="Shipped"/>
    <n v="4"/>
    <n v="10"/>
    <x v="0"/>
    <x v="1"/>
    <n v="85"/>
    <s v="S24_3191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311"/>
    <n v="25"/>
    <n v="83.04"/>
    <n v="5"/>
    <x v="1829"/>
    <d v="2004-10-16T00:00:00"/>
    <s v="Shipped"/>
    <n v="4"/>
    <n v="10"/>
    <x v="1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Small"/>
  </r>
  <r>
    <n v="10321"/>
    <n v="39"/>
    <n v="84.75"/>
    <n v="2"/>
    <x v="1830"/>
    <d v="2004-11-04T00:00:00"/>
    <s v="Shipped"/>
    <n v="4"/>
    <n v="11"/>
    <x v="1"/>
    <x v="1"/>
    <n v="85"/>
    <s v="S24_3191"/>
    <s v="FunGiftIdeas.com"/>
    <n v="5085552555"/>
    <s v="1785 First Street"/>
    <m/>
    <s v="New Bedford"/>
    <s v="MA"/>
    <n v="50553"/>
    <x v="0"/>
    <s v="NA"/>
    <s v="Benitez"/>
    <s v="Violeta"/>
    <s v="Medium"/>
  </r>
  <r>
    <n v="10332"/>
    <n v="45"/>
    <n v="34.19"/>
    <n v="12"/>
    <x v="1831"/>
    <d v="2004-11-17T00:00:00"/>
    <s v="Shipped"/>
    <n v="4"/>
    <n v="11"/>
    <x v="1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4"/>
    <n v="100"/>
    <n v="2"/>
    <x v="1832"/>
    <d v="2004-11-29T00:00:00"/>
    <s v="Shipped"/>
    <n v="4"/>
    <n v="11"/>
    <x v="1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s v="Medium"/>
  </r>
  <r>
    <n v="10368"/>
    <n v="46"/>
    <n v="79.62"/>
    <n v="1"/>
    <x v="1833"/>
    <d v="2005-01-19T00:00:00"/>
    <s v="Shipped"/>
    <n v="1"/>
    <n v="1"/>
    <x v="2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0"/>
    <n v="44"/>
    <n v="79.06"/>
    <n v="9"/>
    <x v="1834"/>
    <d v="2005-02-16T00:00:00"/>
    <s v="Shipped"/>
    <n v="1"/>
    <n v="2"/>
    <x v="2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13"/>
    <n v="81.33"/>
    <n v="7"/>
    <x v="1835"/>
    <d v="2005-04-22T00:00:00"/>
    <s v="On Hold"/>
    <n v="2"/>
    <n v="4"/>
    <x v="2"/>
    <x v="1"/>
    <n v="85"/>
    <s v="S24_3191"/>
    <s v="The Sharp Gifts Warehouse"/>
    <n v="4085553659"/>
    <s v="3086 Ingle Ln."/>
    <m/>
    <s v="San Jose"/>
    <s v="CA"/>
    <n v="94217"/>
    <x v="0"/>
    <s v="NA"/>
    <s v="Frick"/>
    <s v="Sue"/>
    <s v="Small"/>
  </r>
  <r>
    <n v="10420"/>
    <n v="35"/>
    <n v="96.74"/>
    <n v="10"/>
    <x v="1836"/>
    <d v="2005-05-29T00:00:00"/>
    <s v="In Process"/>
    <n v="2"/>
    <n v="5"/>
    <x v="2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08"/>
    <n v="30"/>
    <n v="63.07"/>
    <n v="5"/>
    <x v="1837"/>
    <d v="2003-03-03T00:00:00"/>
    <s v="Shipped"/>
    <n v="1"/>
    <n v="3"/>
    <x v="0"/>
    <x v="1"/>
    <n v="61"/>
    <s v="S24_3371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4"/>
    <n v="50.21"/>
    <n v="9"/>
    <x v="1838"/>
    <d v="2003-05-08T00:00:00"/>
    <s v="Shipped"/>
    <n v="2"/>
    <n v="5"/>
    <x v="0"/>
    <x v="1"/>
    <n v="61"/>
    <s v="S24_3371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7"/>
    <n v="66.13"/>
    <n v="6"/>
    <x v="1839"/>
    <d v="2003-07-02T00:00:00"/>
    <s v="Shipped"/>
    <n v="3"/>
    <n v="7"/>
    <x v="0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0"/>
    <n v="68.58"/>
    <n v="6"/>
    <x v="1840"/>
    <d v="2003-09-05T00:00:00"/>
    <s v="Shipped"/>
    <n v="3"/>
    <n v="9"/>
    <x v="0"/>
    <x v="1"/>
    <n v="61"/>
    <s v="S24_3371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50"/>
    <n v="69.8"/>
    <n v="1"/>
    <x v="1841"/>
    <d v="2003-10-10T00:00:00"/>
    <s v="Shipped"/>
    <n v="4"/>
    <n v="10"/>
    <x v="0"/>
    <x v="1"/>
    <n v="61"/>
    <s v="S24_3371"/>
    <s v="Corporate Gift Ideas Co."/>
    <n v="6505551386"/>
    <s v="7734 Strong St."/>
    <m/>
    <s v="San Francisco"/>
    <s v="CA"/>
    <m/>
    <x v="0"/>
    <s v="NA"/>
    <s v="Brown"/>
    <s v="Julie"/>
    <s v="Medium"/>
  </r>
  <r>
    <n v="10169"/>
    <n v="34"/>
    <n v="50.21"/>
    <n v="1"/>
    <x v="1838"/>
    <d v="2003-11-04T00:00:00"/>
    <s v="Shipped"/>
    <n v="4"/>
    <n v="11"/>
    <x v="0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1"/>
    <n v="23"/>
    <n v="65.52"/>
    <n v="13"/>
    <x v="1842"/>
    <d v="2003-11-12T00:00:00"/>
    <s v="Shipped"/>
    <n v="4"/>
    <n v="11"/>
    <x v="0"/>
    <x v="1"/>
    <n v="61"/>
    <s v="S24_3371"/>
    <s v="Herkku Gifts"/>
    <s v="+47 2267 3215"/>
    <s v="Drammen 121, PR 744 Sentrum"/>
    <m/>
    <s v="Bergen"/>
    <m/>
    <s v="N 5804"/>
    <x v="2"/>
    <s v="EMEA"/>
    <s v="Oeztan"/>
    <s v="Veysel"/>
    <s v="Small"/>
  </r>
  <r>
    <n v="10191"/>
    <n v="48"/>
    <n v="60.01"/>
    <n v="2"/>
    <x v="1843"/>
    <d v="2003-11-20T00:00:00"/>
    <s v="Shipped"/>
    <n v="4"/>
    <n v="11"/>
    <x v="0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s v="Small"/>
  </r>
  <r>
    <n v="10203"/>
    <n v="34"/>
    <n v="64.900000000000006"/>
    <n v="7"/>
    <x v="1844"/>
    <d v="2003-12-02T00:00:00"/>
    <s v="Shipped"/>
    <n v="4"/>
    <n v="12"/>
    <x v="0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8"/>
    <n v="48.98"/>
    <n v="1"/>
    <x v="1845"/>
    <d v="2004-01-15T00:00:00"/>
    <s v="Shipped"/>
    <n v="1"/>
    <n v="1"/>
    <x v="1"/>
    <x v="1"/>
    <n v="61"/>
    <s v="S24_3371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24"/>
    <n v="50.21"/>
    <n v="8"/>
    <x v="1846"/>
    <d v="2004-02-22T00:00:00"/>
    <s v="Shipped"/>
    <n v="1"/>
    <n v="2"/>
    <x v="1"/>
    <x v="1"/>
    <n v="61"/>
    <s v="S24_3371"/>
    <s v="Vida Sport, Ltd"/>
    <s v="0897-034555"/>
    <s v="Grenzacherweg 237"/>
    <m/>
    <s v="Gensve"/>
    <m/>
    <n v="1203"/>
    <x v="17"/>
    <s v="EMEA"/>
    <s v="Holz"/>
    <s v="Michael"/>
    <s v="Small"/>
  </r>
  <r>
    <n v="10238"/>
    <n v="47"/>
    <n v="62.45"/>
    <n v="2"/>
    <x v="1847"/>
    <d v="2004-04-09T00:00:00"/>
    <s v="Shipped"/>
    <n v="2"/>
    <n v="4"/>
    <x v="1"/>
    <x v="1"/>
    <n v="61"/>
    <s v="S24_3371"/>
    <s v="Danish Wholesale Imports"/>
    <s v="31 12 3555"/>
    <s v="Vinb'ltet 34"/>
    <m/>
    <s v="Kobenhavn"/>
    <m/>
    <n v="1734"/>
    <x v="13"/>
    <s v="EMEA"/>
    <s v="Petersen"/>
    <s v="Jytte"/>
    <s v="Small"/>
  </r>
  <r>
    <n v="10253"/>
    <n v="24"/>
    <n v="52.66"/>
    <n v="12"/>
    <x v="1848"/>
    <d v="2004-06-01T00:00:00"/>
    <s v="Cancelled"/>
    <n v="2"/>
    <n v="6"/>
    <x v="1"/>
    <x v="1"/>
    <n v="61"/>
    <s v="S24_3371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266"/>
    <n v="47"/>
    <n v="62.45"/>
    <n v="13"/>
    <x v="1847"/>
    <d v="2004-07-06T00:00:00"/>
    <s v="Shipped"/>
    <n v="3"/>
    <n v="7"/>
    <x v="1"/>
    <x v="1"/>
    <n v="61"/>
    <s v="S24_337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6"/>
    <n v="20"/>
    <n v="61.23"/>
    <n v="2"/>
    <x v="1849"/>
    <d v="2004-08-02T00:00:00"/>
    <s v="Shipped"/>
    <n v="3"/>
    <n v="8"/>
    <x v="1"/>
    <x v="1"/>
    <n v="61"/>
    <s v="S24_3371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7"/>
    <n v="20"/>
    <n v="67.97"/>
    <n v="11"/>
    <x v="1850"/>
    <d v="2004-08-30T00:00:00"/>
    <s v="Shipped"/>
    <n v="3"/>
    <n v="8"/>
    <x v="1"/>
    <x v="1"/>
    <n v="61"/>
    <s v="S24_3371"/>
    <s v="Vida Sport, Ltd"/>
    <s v="0897-034555"/>
    <s v="Grenzacherweg 237"/>
    <m/>
    <s v="Gensve"/>
    <m/>
    <n v="1203"/>
    <x v="17"/>
    <s v="EMEA"/>
    <s v="Holz"/>
    <s v="Michael"/>
    <s v="Small"/>
  </r>
  <r>
    <n v="10300"/>
    <n v="31"/>
    <n v="58.78"/>
    <n v="4"/>
    <x v="1851"/>
    <d v="2003-10-04T00:00:00"/>
    <s v="Shipped"/>
    <n v="4"/>
    <n v="10"/>
    <x v="0"/>
    <x v="1"/>
    <n v="61"/>
    <s v="S24_3371"/>
    <s v="Blauer See Auto, Co."/>
    <s v="+49 69 66 90 2555"/>
    <s v="Lyonerstr. 34"/>
    <m/>
    <s v="Frankfurt"/>
    <m/>
    <n v="60528"/>
    <x v="16"/>
    <s v="EMEA"/>
    <s v="Keitel"/>
    <s v="Roland"/>
    <s v="Small"/>
  </r>
  <r>
    <n v="10310"/>
    <n v="38"/>
    <n v="56.94"/>
    <n v="9"/>
    <x v="1852"/>
    <d v="2004-10-16T00:00:00"/>
    <s v="Shipped"/>
    <n v="4"/>
    <n v="10"/>
    <x v="1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s v="Small"/>
  </r>
  <r>
    <n v="10320"/>
    <n v="26"/>
    <n v="61.23"/>
    <n v="2"/>
    <x v="1853"/>
    <d v="2004-11-03T00:00:00"/>
    <s v="Shipped"/>
    <n v="4"/>
    <n v="11"/>
    <x v="1"/>
    <x v="1"/>
    <n v="61"/>
    <s v="S24_3371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1"/>
    <n v="25"/>
    <n v="100"/>
    <n v="9"/>
    <x v="1854"/>
    <d v="2004-11-17T00:00:00"/>
    <s v="Shipped"/>
    <n v="4"/>
    <n v="11"/>
    <x v="1"/>
    <x v="1"/>
    <n v="61"/>
    <s v="S24_3371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8"/>
    <n v="62.45"/>
    <n v="10"/>
    <x v="1855"/>
    <d v="2004-11-24T00:00:00"/>
    <s v="Shipped"/>
    <n v="4"/>
    <n v="11"/>
    <x v="1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355"/>
    <n v="44"/>
    <n v="62.45"/>
    <n v="6"/>
    <x v="1856"/>
    <d v="2004-12-07T00:00:00"/>
    <s v="Shipped"/>
    <n v="4"/>
    <n v="12"/>
    <x v="1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21"/>
    <n v="100"/>
    <n v="15"/>
    <x v="1857"/>
    <d v="2005-01-06T00:00:00"/>
    <s v="Shipped"/>
    <n v="1"/>
    <n v="1"/>
    <x v="2"/>
    <x v="1"/>
    <n v="61"/>
    <s v="S24_3371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46"/>
    <n v="41.54"/>
    <n v="6"/>
    <x v="1858"/>
    <d v="2005-02-10T00:00:00"/>
    <s v="Shipped"/>
    <n v="1"/>
    <n v="2"/>
    <x v="2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6"/>
    <n v="52.84"/>
    <n v="6"/>
    <x v="1859"/>
    <d v="2005-03-04T00:00:00"/>
    <s v="Shipped"/>
    <n v="1"/>
    <n v="3"/>
    <x v="2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9"/>
    <n v="55"/>
    <n v="52.66"/>
    <n v="12"/>
    <x v="1860"/>
    <d v="2005-05-17T00:00:00"/>
    <s v="Shipped"/>
    <n v="2"/>
    <n v="5"/>
    <x v="2"/>
    <x v="1"/>
    <n v="61"/>
    <s v="S24_3371"/>
    <s v="Salzburg Collectables"/>
    <s v="6562-9555"/>
    <s v="Geislweg 14"/>
    <m/>
    <s v="Salzburg"/>
    <m/>
    <n v="5020"/>
    <x v="5"/>
    <s v="EMEA"/>
    <s v="Pipps"/>
    <s v="Georg"/>
    <s v="Small"/>
  </r>
  <r>
    <n v="10106"/>
    <n v="31"/>
    <n v="52.6"/>
    <n v="14"/>
    <x v="1861"/>
    <d v="2003-02-17T00:00:00"/>
    <s v="Shipped"/>
    <n v="1"/>
    <n v="2"/>
    <x v="0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0"/>
    <n v="72.98"/>
    <n v="5"/>
    <x v="1862"/>
    <d v="2003-04-28T00:00:00"/>
    <s v="Shipped"/>
    <n v="2"/>
    <n v="4"/>
    <x v="0"/>
    <x v="3"/>
    <n v="65"/>
    <s v="S24_3420"/>
    <s v="Salzburg Collectables"/>
    <s v="6562-9555"/>
    <s v="Geislweg 14"/>
    <m/>
    <s v="Salzburg"/>
    <m/>
    <n v="5020"/>
    <x v="5"/>
    <s v="EMEA"/>
    <s v="Pipps"/>
    <s v="Georg"/>
    <s v="Small"/>
  </r>
  <r>
    <n v="10131"/>
    <n v="29"/>
    <n v="59.18"/>
    <n v="6"/>
    <x v="1863"/>
    <d v="2003-06-16T00:00:00"/>
    <s v="Shipped"/>
    <n v="2"/>
    <n v="6"/>
    <x v="0"/>
    <x v="3"/>
    <n v="65"/>
    <s v="S24_3420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3"/>
    <n v="77.59"/>
    <n v="9"/>
    <x v="1864"/>
    <d v="2003-08-10T00:00:00"/>
    <s v="Shipped"/>
    <n v="3"/>
    <n v="8"/>
    <x v="0"/>
    <x v="3"/>
    <n v="65"/>
    <s v="S24_3420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4"/>
    <n v="55.89"/>
    <n v="7"/>
    <x v="1865"/>
    <d v="2003-10-06T00:00:00"/>
    <s v="Shipped"/>
    <n v="4"/>
    <n v="10"/>
    <x v="0"/>
    <x v="3"/>
    <n v="65"/>
    <s v="S24_3420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32"/>
    <n v="63.12"/>
    <n v="3"/>
    <x v="1866"/>
    <d v="2003-10-23T00:00:00"/>
    <s v="Cancelled"/>
    <n v="4"/>
    <n v="10"/>
    <x v="0"/>
    <x v="3"/>
    <n v="65"/>
    <s v="S24_3420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27"/>
    <n v="73.64"/>
    <n v="6"/>
    <x v="1867"/>
    <d v="2003-11-08T00:00:00"/>
    <s v="Shipped"/>
    <n v="4"/>
    <n v="11"/>
    <x v="0"/>
    <x v="3"/>
    <n v="65"/>
    <s v="S24_3420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1"/>
    <n v="69.040000000000006"/>
    <n v="3"/>
    <x v="1868"/>
    <d v="2003-11-14T00:00:00"/>
    <s v="Shipped"/>
    <n v="4"/>
    <n v="11"/>
    <x v="0"/>
    <x v="3"/>
    <n v="65"/>
    <s v="S24_3420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8"/>
    <n v="27"/>
    <n v="71.67"/>
    <n v="6"/>
    <x v="1869"/>
    <d v="2003-11-27T00:00:00"/>
    <s v="Shipped"/>
    <n v="4"/>
    <n v="11"/>
    <x v="0"/>
    <x v="3"/>
    <n v="65"/>
    <s v="S24_3420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09"/>
    <n v="36"/>
    <n v="77.59"/>
    <n v="2"/>
    <x v="1870"/>
    <d v="2004-01-09T00:00:00"/>
    <s v="Shipped"/>
    <n v="1"/>
    <n v="1"/>
    <x v="1"/>
    <x v="3"/>
    <n v="65"/>
    <s v="S24_3420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3"/>
    <n v="70.349999999999994"/>
    <n v="6"/>
    <x v="1871"/>
    <d v="2004-02-19T00:00:00"/>
    <s v="Shipped"/>
    <n v="1"/>
    <n v="2"/>
    <x v="1"/>
    <x v="3"/>
    <n v="65"/>
    <s v="S24_3420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9"/>
    <n v="25"/>
    <n v="69.7"/>
    <n v="2"/>
    <x v="1872"/>
    <d v="2004-05-08T00:00:00"/>
    <s v="Shipped"/>
    <n v="2"/>
    <n v="5"/>
    <x v="1"/>
    <x v="3"/>
    <n v="65"/>
    <s v="S24_3420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46"/>
    <n v="70.349999999999994"/>
    <n v="11"/>
    <x v="1873"/>
    <d v="2004-06-24T00:00:00"/>
    <s v="Cancelled"/>
    <n v="2"/>
    <n v="6"/>
    <x v="1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24"/>
    <n v="72.33"/>
    <n v="3"/>
    <x v="1874"/>
    <d v="2004-07-21T00:00:00"/>
    <s v="Shipped"/>
    <n v="3"/>
    <n v="7"/>
    <x v="1"/>
    <x v="3"/>
    <n v="65"/>
    <s v="S24_3420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4"/>
    <n v="39"/>
    <n v="71.67"/>
    <n v="13"/>
    <x v="1875"/>
    <d v="2004-08-21T00:00:00"/>
    <s v="Shipped"/>
    <n v="3"/>
    <n v="8"/>
    <x v="1"/>
    <x v="3"/>
    <n v="65"/>
    <s v="S24_3420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31"/>
    <n v="53.92"/>
    <n v="9"/>
    <x v="1876"/>
    <d v="2004-09-15T00:00:00"/>
    <s v="Shipped"/>
    <n v="3"/>
    <n v="9"/>
    <x v="1"/>
    <x v="3"/>
    <n v="65"/>
    <s v="S24_3420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2"/>
    <n v="71.67"/>
    <n v="3"/>
    <x v="1877"/>
    <d v="2004-10-14T00:00:00"/>
    <s v="Shipped"/>
    <n v="4"/>
    <n v="10"/>
    <x v="1"/>
    <x v="3"/>
    <n v="65"/>
    <s v="S24_3420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47"/>
    <n v="76.930000000000007"/>
    <n v="11"/>
    <x v="1878"/>
    <d v="2004-11-01T00:00:00"/>
    <s v="Shipped"/>
    <n v="4"/>
    <n v="11"/>
    <x v="1"/>
    <x v="3"/>
    <n v="65"/>
    <s v="S24_342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20"/>
    <n v="72.98"/>
    <n v="2"/>
    <x v="1862"/>
    <d v="2004-11-12T00:00:00"/>
    <s v="Shipped"/>
    <n v="4"/>
    <n v="11"/>
    <x v="1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29"/>
    <n v="99.69"/>
    <n v="14"/>
    <x v="1879"/>
    <d v="2004-11-23T00:00:00"/>
    <s v="Shipped"/>
    <n v="4"/>
    <n v="11"/>
    <x v="1"/>
    <x v="3"/>
    <n v="65"/>
    <s v="S24_3420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1"/>
    <n v="38"/>
    <n v="68.38"/>
    <n v="4"/>
    <x v="1880"/>
    <d v="2004-12-03T00:00:00"/>
    <s v="Shipped"/>
    <n v="4"/>
    <n v="12"/>
    <x v="1"/>
    <x v="3"/>
    <n v="65"/>
    <s v="S24_3420"/>
    <s v="Stylish Desk Decors, Co."/>
    <s v="(171) 555-0297"/>
    <s v="35 King George"/>
    <m/>
    <s v="London"/>
    <m/>
    <s v="WX3 6FW"/>
    <x v="6"/>
    <s v="EMEA"/>
    <s v="Brown"/>
    <s v="Ann"/>
    <s v="Small"/>
  </r>
  <r>
    <n v="10361"/>
    <n v="34"/>
    <n v="100"/>
    <n v="6"/>
    <x v="1881"/>
    <d v="2004-12-17T00:00:00"/>
    <s v="Shipped"/>
    <n v="4"/>
    <n v="12"/>
    <x v="1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6"/>
    <n v="66"/>
    <n v="11"/>
    <x v="1882"/>
    <d v="2005-01-31T00:00:00"/>
    <s v="Shipped"/>
    <n v="1"/>
    <n v="1"/>
    <x v="2"/>
    <x v="3"/>
    <n v="65"/>
    <s v="S24_3420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35"/>
    <n v="63.76"/>
    <n v="9"/>
    <x v="1883"/>
    <d v="2005-03-01T00:00:00"/>
    <s v="Resolved"/>
    <n v="1"/>
    <n v="3"/>
    <x v="2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4"/>
    <n v="71.67"/>
    <n v="13"/>
    <x v="1884"/>
    <d v="2005-03-30T00:00:00"/>
    <s v="Shipped"/>
    <n v="1"/>
    <n v="3"/>
    <x v="2"/>
    <x v="3"/>
    <n v="65"/>
    <s v="S24_3420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38"/>
    <n v="57.2"/>
    <n v="3"/>
    <x v="1189"/>
    <d v="2005-04-01T00:00:00"/>
    <s v="Shipped"/>
    <n v="2"/>
    <n v="4"/>
    <x v="2"/>
    <x v="3"/>
    <n v="65"/>
    <s v="S24_3420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18"/>
    <n v="69.7"/>
    <n v="2"/>
    <x v="1885"/>
    <d v="2005-05-09T00:00:00"/>
    <s v="Disputed"/>
    <n v="2"/>
    <n v="5"/>
    <x v="2"/>
    <x v="3"/>
    <n v="65"/>
    <s v="S24_3420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10"/>
    <n v="37"/>
    <n v="100"/>
    <n v="14"/>
    <x v="1886"/>
    <d v="2003-03-18T00:00:00"/>
    <s v="Shipped"/>
    <n v="1"/>
    <n v="3"/>
    <x v="0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s v="Medium"/>
  </r>
  <r>
    <n v="10124"/>
    <n v="43"/>
    <n v="100"/>
    <n v="13"/>
    <x v="1887"/>
    <d v="2003-05-21T00:00:00"/>
    <s v="Shipped"/>
    <n v="2"/>
    <n v="5"/>
    <x v="0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s v="Medium"/>
  </r>
  <r>
    <n v="10148"/>
    <n v="27"/>
    <n v="100"/>
    <n v="7"/>
    <x v="1888"/>
    <d v="2003-09-11T00:00:00"/>
    <s v="Shipped"/>
    <n v="3"/>
    <n v="9"/>
    <x v="0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61"/>
    <n v="30"/>
    <n v="100"/>
    <n v="6"/>
    <x v="1889"/>
    <d v="2003-10-17T00:00:00"/>
    <s v="Shipped"/>
    <n v="4"/>
    <n v="10"/>
    <x v="0"/>
    <x v="1"/>
    <n v="107"/>
    <s v="S24_3432"/>
    <s v="Heintze Collectables"/>
    <s v="86 21 3555"/>
    <s v="Smagsloget 45"/>
    <m/>
    <s v="Aaarhus"/>
    <m/>
    <n v="8200"/>
    <x v="13"/>
    <s v="EMEA"/>
    <s v="Ibsen"/>
    <s v="Palle"/>
    <s v="Medium"/>
  </r>
  <r>
    <n v="10172"/>
    <n v="22"/>
    <n v="98.51"/>
    <n v="4"/>
    <x v="1890"/>
    <d v="2003-11-05T00:00:00"/>
    <s v="Shipped"/>
    <n v="4"/>
    <n v="11"/>
    <x v="0"/>
    <x v="1"/>
    <n v="107"/>
    <s v="S24_3432"/>
    <s v="Gift Depot Inc."/>
    <n v="2035552570"/>
    <s v="25593 South Bay Ln."/>
    <m/>
    <s v="Bridgewater"/>
    <s v="CT"/>
    <n v="97562"/>
    <x v="0"/>
    <s v="NA"/>
    <s v="King"/>
    <s v="Julie"/>
    <s v="Small"/>
  </r>
  <r>
    <n v="10182"/>
    <n v="49"/>
    <n v="100"/>
    <n v="17"/>
    <x v="1891"/>
    <d v="2003-11-12T00:00:00"/>
    <s v="Shipped"/>
    <n v="4"/>
    <n v="11"/>
    <x v="0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92"/>
    <n v="46"/>
    <n v="100"/>
    <n v="5"/>
    <x v="1892"/>
    <d v="2003-11-20T00:00:00"/>
    <s v="Shipped"/>
    <n v="4"/>
    <n v="11"/>
    <x v="0"/>
    <x v="1"/>
    <n v="107"/>
    <s v="S24_3432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4"/>
    <n v="48"/>
    <n v="91.02"/>
    <n v="11"/>
    <x v="1893"/>
    <d v="2003-12-02T00:00:00"/>
    <s v="Shipped"/>
    <n v="4"/>
    <n v="12"/>
    <x v="0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12"/>
    <n v="46"/>
    <n v="87.81"/>
    <n v="4"/>
    <x v="1894"/>
    <d v="2004-01-16T00:00:00"/>
    <s v="Shipped"/>
    <n v="1"/>
    <n v="1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226"/>
    <n v="48"/>
    <n v="92.09"/>
    <n v="2"/>
    <x v="1895"/>
    <d v="2004-02-26T00:00:00"/>
    <s v="Shipped"/>
    <n v="1"/>
    <n v="2"/>
    <x v="1"/>
    <x v="1"/>
    <n v="107"/>
    <s v="S24_3432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1"/>
    <n v="27"/>
    <n v="86.73"/>
    <n v="9"/>
    <x v="1896"/>
    <d v="2004-04-13T00:00:00"/>
    <s v="Shipped"/>
    <n v="2"/>
    <n v="4"/>
    <x v="1"/>
    <x v="1"/>
    <n v="107"/>
    <s v="S24_3432"/>
    <s v="Mini Caravy"/>
    <s v="88.60.1555"/>
    <s v="24, place Kluber"/>
    <m/>
    <s v="Strasbourg"/>
    <m/>
    <n v="67000"/>
    <x v="1"/>
    <s v="EMEA"/>
    <s v="Citeaux"/>
    <s v="Frederique"/>
    <s v="Small"/>
  </r>
  <r>
    <n v="10267"/>
    <n v="43"/>
    <n v="100"/>
    <n v="6"/>
    <x v="1897"/>
    <d v="2004-07-07T00:00:00"/>
    <s v="Shipped"/>
    <n v="3"/>
    <n v="7"/>
    <x v="1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279"/>
    <n v="48"/>
    <n v="100"/>
    <n v="6"/>
    <x v="1898"/>
    <d v="2004-08-09T00:00:00"/>
    <s v="Shipped"/>
    <n v="3"/>
    <n v="8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288"/>
    <n v="41"/>
    <n v="100"/>
    <n v="12"/>
    <x v="1899"/>
    <d v="2004-09-01T00:00:00"/>
    <s v="Shipped"/>
    <n v="3"/>
    <n v="9"/>
    <x v="1"/>
    <x v="1"/>
    <n v="107"/>
    <s v="S24_343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301"/>
    <n v="22"/>
    <n v="96.37"/>
    <n v="2"/>
    <x v="1900"/>
    <d v="2003-10-05T00:00:00"/>
    <s v="Shipped"/>
    <n v="4"/>
    <n v="10"/>
    <x v="0"/>
    <x v="1"/>
    <n v="107"/>
    <s v="S24_3432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311"/>
    <n v="46"/>
    <n v="92.09"/>
    <n v="7"/>
    <x v="1901"/>
    <d v="2004-10-16T00:00:00"/>
    <s v="Shipped"/>
    <n v="4"/>
    <n v="10"/>
    <x v="1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321"/>
    <n v="21"/>
    <n v="89.95"/>
    <n v="4"/>
    <x v="1902"/>
    <d v="2004-11-04T00:00:00"/>
    <s v="Shipped"/>
    <n v="4"/>
    <n v="11"/>
    <x v="1"/>
    <x v="1"/>
    <n v="107"/>
    <s v="S24_3432"/>
    <s v="FunGiftIdeas.com"/>
    <n v="5085552555"/>
    <s v="1785 First Street"/>
    <m/>
    <s v="New Bedford"/>
    <s v="MA"/>
    <n v="50553"/>
    <x v="0"/>
    <s v="NA"/>
    <s v="Benitez"/>
    <s v="Violeta"/>
    <s v="Small"/>
  </r>
  <r>
    <n v="10332"/>
    <n v="31"/>
    <n v="37.18"/>
    <n v="13"/>
    <x v="1903"/>
    <d v="2004-11-17T00:00:00"/>
    <s v="Shipped"/>
    <n v="4"/>
    <n v="11"/>
    <x v="1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s v="Small"/>
  </r>
  <r>
    <n v="10346"/>
    <n v="26"/>
    <n v="95.88"/>
    <n v="6"/>
    <x v="1904"/>
    <d v="2004-11-29T00:00:00"/>
    <s v="Shipped"/>
    <n v="4"/>
    <n v="11"/>
    <x v="1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20"/>
    <n v="99.58"/>
    <n v="4"/>
    <x v="1905"/>
    <d v="2005-01-19T00:00:00"/>
    <s v="Shipped"/>
    <n v="1"/>
    <n v="1"/>
    <x v="2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0"/>
    <n v="34"/>
    <n v="100"/>
    <n v="11"/>
    <x v="1906"/>
    <d v="2005-02-16T00:00:00"/>
    <s v="Shipped"/>
    <n v="1"/>
    <n v="2"/>
    <x v="2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s v="Medium"/>
  </r>
  <r>
    <n v="10407"/>
    <n v="43"/>
    <n v="86.73"/>
    <n v="9"/>
    <x v="1907"/>
    <d v="2005-04-22T00:00:00"/>
    <s v="On Hold"/>
    <n v="2"/>
    <n v="4"/>
    <x v="2"/>
    <x v="1"/>
    <n v="107"/>
    <s v="S24_3432"/>
    <s v="The Sharp Gifts Warehouse"/>
    <n v="4085553659"/>
    <s v="3086 Ingle Ln."/>
    <m/>
    <s v="San Jose"/>
    <s v="CA"/>
    <n v="94217"/>
    <x v="0"/>
    <s v="NA"/>
    <s v="Frick"/>
    <s v="Sue"/>
    <s v="Medium"/>
  </r>
  <r>
    <n v="10420"/>
    <n v="26"/>
    <n v="100"/>
    <n v="12"/>
    <x v="1908"/>
    <d v="2005-05-29T00:00:00"/>
    <s v="In Process"/>
    <n v="2"/>
    <n v="5"/>
    <x v="2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5"/>
    <n v="50"/>
    <n v="79.67"/>
    <n v="1"/>
    <x v="1909"/>
    <d v="2003-02-11T00:00:00"/>
    <s v="Shipped"/>
    <n v="1"/>
    <n v="2"/>
    <x v="0"/>
    <x v="3"/>
    <n v="83"/>
    <s v="S24_3816"/>
    <s v="Danish Wholesale Imports"/>
    <s v="31 12 3555"/>
    <s v="Vinb'ltet 34"/>
    <m/>
    <s v="Kobenhavn"/>
    <m/>
    <n v="1734"/>
    <x v="13"/>
    <s v="EMEA"/>
    <s v="Petersen"/>
    <s v="Jytte"/>
    <s v="Medium"/>
  </r>
  <r>
    <n v="10119"/>
    <n v="35"/>
    <n v="90.57"/>
    <n v="10"/>
    <x v="1910"/>
    <d v="2003-04-28T00:00:00"/>
    <s v="Shipped"/>
    <n v="2"/>
    <n v="4"/>
    <x v="0"/>
    <x v="3"/>
    <n v="83"/>
    <s v="S24_3816"/>
    <s v="Salzburg Collectables"/>
    <s v="6562-9555"/>
    <s v="Geislweg 14"/>
    <m/>
    <s v="Salzburg"/>
    <m/>
    <n v="5020"/>
    <x v="5"/>
    <s v="EMEA"/>
    <s v="Pipps"/>
    <s v="Georg"/>
    <s v="Medium"/>
  </r>
  <r>
    <n v="10129"/>
    <n v="50"/>
    <n v="77.989999999999995"/>
    <n v="1"/>
    <x v="1911"/>
    <d v="2003-06-12T00:00:00"/>
    <s v="Shipped"/>
    <n v="2"/>
    <n v="6"/>
    <x v="0"/>
    <x v="3"/>
    <n v="83"/>
    <s v="S24_3816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23"/>
    <n v="80.510000000000005"/>
    <n v="14"/>
    <x v="1912"/>
    <d v="2003-08-10T00:00:00"/>
    <s v="Shipped"/>
    <n v="3"/>
    <n v="8"/>
    <x v="0"/>
    <x v="3"/>
    <n v="83"/>
    <s v="S24_3816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7"/>
    <n v="67.930000000000007"/>
    <n v="12"/>
    <x v="1913"/>
    <d v="2003-10-06T00:00:00"/>
    <s v="Shipped"/>
    <n v="4"/>
    <n v="10"/>
    <x v="0"/>
    <x v="3"/>
    <n v="83"/>
    <s v="S24_3816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9"/>
    <n v="83.86"/>
    <n v="8"/>
    <x v="1914"/>
    <d v="2003-10-23T00:00:00"/>
    <s v="Cancelled"/>
    <n v="4"/>
    <n v="10"/>
    <x v="0"/>
    <x v="3"/>
    <n v="83"/>
    <s v="S24_3816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21"/>
    <n v="72.12"/>
    <n v="11"/>
    <x v="1915"/>
    <d v="2003-11-08T00:00:00"/>
    <s v="Shipped"/>
    <n v="4"/>
    <n v="11"/>
    <x v="0"/>
    <x v="3"/>
    <n v="83"/>
    <s v="S24_3816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36"/>
    <n v="85.54"/>
    <n v="8"/>
    <x v="1916"/>
    <d v="2003-11-14T00:00:00"/>
    <s v="Shipped"/>
    <n v="4"/>
    <n v="11"/>
    <x v="0"/>
    <x v="3"/>
    <n v="83"/>
    <s v="S24_3816"/>
    <s v="Double Decker Gift Stores, Ltd"/>
    <s v="(171) 555-7555"/>
    <s v="120 Hanover Sq."/>
    <m/>
    <s v="London"/>
    <m/>
    <s v="WA1 1DP"/>
    <x v="6"/>
    <s v="EMEA"/>
    <s v="Hardy"/>
    <s v="Thomas"/>
    <s v="Medium"/>
  </r>
  <r>
    <n v="10197"/>
    <n v="22"/>
    <n v="86.38"/>
    <n v="5"/>
    <x v="1917"/>
    <d v="2003-11-26T00:00:00"/>
    <s v="Shipped"/>
    <n v="4"/>
    <n v="11"/>
    <x v="0"/>
    <x v="3"/>
    <n v="83"/>
    <s v="S24_3816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22"/>
    <n v="89.73"/>
    <n v="7"/>
    <x v="1918"/>
    <d v="2004-01-09T00:00:00"/>
    <s v="Shipped"/>
    <n v="1"/>
    <n v="1"/>
    <x v="1"/>
    <x v="3"/>
    <n v="83"/>
    <s v="S24_3816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46"/>
    <n v="80.510000000000005"/>
    <n v="11"/>
    <x v="1919"/>
    <d v="2004-02-19T00:00:00"/>
    <s v="Shipped"/>
    <n v="1"/>
    <n v="2"/>
    <x v="1"/>
    <x v="3"/>
    <n v="83"/>
    <s v="S24_381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48"/>
    <n v="23"/>
    <n v="76.31"/>
    <n v="2"/>
    <x v="1920"/>
    <d v="2004-05-07T00:00:00"/>
    <s v="Cancelled"/>
    <n v="2"/>
    <n v="5"/>
    <x v="1"/>
    <x v="3"/>
    <n v="83"/>
    <s v="S24_3816"/>
    <s v="Land of Toys Inc."/>
    <n v="2125557818"/>
    <s v="897 Long Airport Avenue"/>
    <m/>
    <s v="NYC"/>
    <s v="NY"/>
    <n v="10022"/>
    <x v="0"/>
    <s v="NA"/>
    <s v="Yu"/>
    <s v="Kwai"/>
    <s v="Small"/>
  </r>
  <r>
    <n v="10262"/>
    <n v="49"/>
    <n v="87.21"/>
    <n v="16"/>
    <x v="1921"/>
    <d v="2004-06-24T00:00:00"/>
    <s v="Cancelled"/>
    <n v="2"/>
    <n v="6"/>
    <x v="1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s v="Medium"/>
  </r>
  <r>
    <n v="10273"/>
    <n v="48"/>
    <n v="83.02"/>
    <n v="3"/>
    <x v="1922"/>
    <d v="2004-07-21T00:00:00"/>
    <s v="Shipped"/>
    <n v="3"/>
    <n v="7"/>
    <x v="1"/>
    <x v="3"/>
    <n v="83"/>
    <s v="S24_3816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33"/>
    <n v="72.959999999999994"/>
    <n v="5"/>
    <x v="1923"/>
    <d v="2004-08-20T00:00:00"/>
    <s v="Shipped"/>
    <n v="3"/>
    <n v="8"/>
    <x v="1"/>
    <x v="3"/>
    <n v="83"/>
    <s v="S24_3816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2"/>
    <n v="77.150000000000006"/>
    <n v="14"/>
    <x v="1924"/>
    <d v="2004-09-15T00:00:00"/>
    <s v="Shipped"/>
    <n v="3"/>
    <n v="9"/>
    <x v="1"/>
    <x v="3"/>
    <n v="83"/>
    <s v="S24_381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22"/>
    <n v="91.41"/>
    <n v="8"/>
    <x v="1925"/>
    <d v="2004-10-14T00:00:00"/>
    <s v="Shipped"/>
    <n v="4"/>
    <n v="10"/>
    <x v="1"/>
    <x v="3"/>
    <n v="83"/>
    <s v="S24_3816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25"/>
    <n v="92.25"/>
    <n v="16"/>
    <x v="1926"/>
    <d v="2004-11-01T00:00:00"/>
    <s v="Shipped"/>
    <n v="4"/>
    <n v="11"/>
    <x v="1"/>
    <x v="3"/>
    <n v="83"/>
    <s v="S24_381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6"/>
    <n v="20"/>
    <n v="92.25"/>
    <n v="2"/>
    <x v="1927"/>
    <d v="2004-11-09T00:00:00"/>
    <s v="Shipped"/>
    <n v="4"/>
    <n v="11"/>
    <x v="1"/>
    <x v="3"/>
    <n v="83"/>
    <s v="S24_3816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9"/>
    <n v="42"/>
    <n v="59.36"/>
    <n v="16"/>
    <x v="1928"/>
    <d v="2004-11-23T00:00:00"/>
    <s v="Shipped"/>
    <n v="4"/>
    <n v="11"/>
    <x v="1"/>
    <x v="3"/>
    <n v="83"/>
    <s v="S24_3816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0"/>
    <n v="25"/>
    <n v="60.34"/>
    <n v="10"/>
    <x v="1929"/>
    <d v="2004-12-02T00:00:00"/>
    <s v="Shipped"/>
    <n v="4"/>
    <n v="12"/>
    <x v="1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3"/>
    <n v="100"/>
    <n v="10"/>
    <x v="1930"/>
    <d v="2005-01-31T00:00:00"/>
    <s v="Shipped"/>
    <n v="1"/>
    <n v="1"/>
    <x v="2"/>
    <x v="3"/>
    <n v="83"/>
    <s v="S24_3816"/>
    <s v="Oulu Toy Supplies, Inc."/>
    <s v="981-443655"/>
    <s v="Torikatu 38"/>
    <m/>
    <s v="Oulu"/>
    <m/>
    <n v="90110"/>
    <x v="4"/>
    <s v="EMEA"/>
    <s v="Koskitalo"/>
    <s v="Pirkko"/>
    <s v="Small"/>
  </r>
  <r>
    <n v="10385"/>
    <n v="37"/>
    <n v="85.54"/>
    <n v="2"/>
    <x v="1931"/>
    <d v="2005-02-28T00:00:00"/>
    <s v="Shipped"/>
    <n v="1"/>
    <n v="2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96"/>
    <n v="37"/>
    <n v="90.57"/>
    <n v="8"/>
    <x v="1932"/>
    <d v="2005-03-23T00:00:00"/>
    <s v="Shipped"/>
    <n v="1"/>
    <n v="3"/>
    <x v="2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0"/>
    <n v="42"/>
    <n v="72.959999999999994"/>
    <n v="8"/>
    <x v="1933"/>
    <d v="2005-04-01T00:00:00"/>
    <s v="Shipped"/>
    <n v="2"/>
    <n v="4"/>
    <x v="2"/>
    <x v="3"/>
    <n v="83"/>
    <s v="S24_3816"/>
    <s v="The Sharp Gifts Warehouse"/>
    <n v="4085553659"/>
    <s v="3086 Ingle Ln."/>
    <m/>
    <s v="San Jose"/>
    <s v="CA"/>
    <n v="94217"/>
    <x v="0"/>
    <s v="NA"/>
    <s v="Frick"/>
    <s v="Sue"/>
    <s v="Medium"/>
  </r>
  <r>
    <n v="10414"/>
    <n v="51"/>
    <n v="76.31"/>
    <n v="2"/>
    <x v="1934"/>
    <d v="2005-05-06T00:00:00"/>
    <s v="On Hold"/>
    <n v="2"/>
    <n v="5"/>
    <x v="2"/>
    <x v="3"/>
    <n v="83"/>
    <s v="S24_3816"/>
    <s v="Gifts4AllAges.com"/>
    <n v="6175559555"/>
    <s v="8616 Spinnaker Dr."/>
    <m/>
    <s v="Boston"/>
    <s v="MA"/>
    <n v="51003"/>
    <x v="0"/>
    <s v="NA"/>
    <s v="Yoshido"/>
    <s v="Juri"/>
    <s v="Medium"/>
  </r>
  <r>
    <n v="10108"/>
    <n v="40"/>
    <n v="100"/>
    <n v="1"/>
    <x v="1935"/>
    <d v="2003-03-03T00:00:00"/>
    <s v="Shipped"/>
    <n v="1"/>
    <n v="3"/>
    <x v="0"/>
    <x v="1"/>
    <n v="140"/>
    <s v="S24_3856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2"/>
    <n v="43"/>
    <n v="100"/>
    <n v="5"/>
    <x v="1936"/>
    <d v="2003-05-08T00:00:00"/>
    <s v="Shipped"/>
    <n v="2"/>
    <n v="5"/>
    <x v="0"/>
    <x v="1"/>
    <n v="140"/>
    <s v="S24_3856"/>
    <s v="Marseille Mini Autos"/>
    <s v="91.24.4555"/>
    <s v="12, rue des Bouchers"/>
    <m/>
    <s v="Marseille"/>
    <m/>
    <n v="13008"/>
    <x v="1"/>
    <s v="EMEA"/>
    <s v="Lebihan"/>
    <s v="Laurence"/>
    <s v="Medium"/>
  </r>
  <r>
    <n v="10135"/>
    <n v="47"/>
    <n v="100"/>
    <n v="2"/>
    <x v="1937"/>
    <d v="2003-07-02T00:00:00"/>
    <s v="Shipped"/>
    <n v="3"/>
    <n v="7"/>
    <x v="0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7"/>
    <n v="23"/>
    <n v="100"/>
    <n v="2"/>
    <x v="1938"/>
    <d v="2003-09-05T00:00:00"/>
    <s v="Shipped"/>
    <n v="3"/>
    <n v="9"/>
    <x v="0"/>
    <x v="1"/>
    <n v="140"/>
    <s v="S24_3856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60"/>
    <n v="35"/>
    <n v="100"/>
    <n v="3"/>
    <x v="1939"/>
    <d v="2003-10-11T00:00:00"/>
    <s v="Shipped"/>
    <n v="4"/>
    <n v="10"/>
    <x v="0"/>
    <x v="1"/>
    <n v="140"/>
    <s v="S24_3856"/>
    <s v="Men 'R' US Retailers, Ltd."/>
    <n v="2155554369"/>
    <s v="6047 Douglas Av."/>
    <m/>
    <s v="Los Angeles"/>
    <s v="CA"/>
    <m/>
    <x v="0"/>
    <s v="NA"/>
    <s v="Chandler"/>
    <s v="Michael"/>
    <s v="Medium"/>
  </r>
  <r>
    <n v="10170"/>
    <n v="34"/>
    <n v="100"/>
    <n v="1"/>
    <x v="1940"/>
    <d v="2003-11-04T00:00:00"/>
    <s v="Shipped"/>
    <n v="4"/>
    <n v="11"/>
    <x v="0"/>
    <x v="1"/>
    <n v="140"/>
    <s v="S24_3856"/>
    <s v="Mini Auto Werke"/>
    <s v="7675-3555"/>
    <s v="Kirchgasse 6"/>
    <m/>
    <s v="Graz"/>
    <m/>
    <n v="8010"/>
    <x v="5"/>
    <s v="EMEA"/>
    <s v="Mendel"/>
    <s v="Roland"/>
    <s v="Medium"/>
  </r>
  <r>
    <n v="10181"/>
    <n v="25"/>
    <n v="100"/>
    <n v="9"/>
    <x v="1941"/>
    <d v="2003-11-12T00:00:00"/>
    <s v="Shipped"/>
    <n v="4"/>
    <n v="11"/>
    <x v="0"/>
    <x v="1"/>
    <n v="140"/>
    <s v="S24_3856"/>
    <s v="Herkku Gifts"/>
    <s v="+47 2267 3215"/>
    <s v="Drammen 121, PR 744 Sentrum"/>
    <m/>
    <s v="Bergen"/>
    <m/>
    <s v="N 5804"/>
    <x v="2"/>
    <s v="EMEA"/>
    <s v="Oeztan"/>
    <s v="Veysel"/>
    <s v="Medium"/>
  </r>
  <r>
    <n v="10192"/>
    <n v="45"/>
    <n v="100"/>
    <n v="14"/>
    <x v="1942"/>
    <d v="2003-11-20T00:00:00"/>
    <s v="Shipped"/>
    <n v="4"/>
    <n v="11"/>
    <x v="0"/>
    <x v="1"/>
    <n v="140"/>
    <s v="S24_3856"/>
    <s v="Online Diecast Creations Co."/>
    <n v="6035558647"/>
    <s v="2304 Long Airport Avenue"/>
    <m/>
    <s v="Nashua"/>
    <s v="NH"/>
    <n v="62005"/>
    <x v="0"/>
    <s v="NA"/>
    <s v="Young"/>
    <s v="Valarie"/>
    <s v="Medium"/>
  </r>
  <r>
    <n v="10203"/>
    <n v="47"/>
    <n v="100"/>
    <n v="3"/>
    <x v="1943"/>
    <d v="2003-12-02T00:00:00"/>
    <s v="Shipped"/>
    <n v="4"/>
    <n v="12"/>
    <x v="0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Medium"/>
  </r>
  <r>
    <n v="10212"/>
    <n v="49"/>
    <n v="100"/>
    <n v="13"/>
    <x v="1944"/>
    <d v="2004-01-16T00:00:00"/>
    <s v="Shipped"/>
    <n v="1"/>
    <n v="1"/>
    <x v="1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Medium"/>
  </r>
  <r>
    <n v="10225"/>
    <n v="40"/>
    <n v="100"/>
    <n v="4"/>
    <x v="1945"/>
    <d v="2004-02-22T00:00:00"/>
    <s v="Shipped"/>
    <n v="1"/>
    <n v="2"/>
    <x v="1"/>
    <x v="1"/>
    <n v="140"/>
    <s v="S24_3856"/>
    <s v="Vida Sport, Ltd"/>
    <s v="0897-034555"/>
    <s v="Grenzacherweg 237"/>
    <m/>
    <s v="Gensve"/>
    <m/>
    <n v="1203"/>
    <x v="17"/>
    <s v="EMEA"/>
    <s v="Holz"/>
    <s v="Michael"/>
    <s v="Medium"/>
  </r>
  <r>
    <n v="10239"/>
    <n v="29"/>
    <n v="100"/>
    <n v="3"/>
    <x v="1946"/>
    <d v="2004-04-12T00:00:00"/>
    <s v="Shipped"/>
    <n v="2"/>
    <n v="4"/>
    <x v="1"/>
    <x v="1"/>
    <n v="140"/>
    <s v="S24_3856"/>
    <s v="Oulu Toy Supplies, Inc."/>
    <s v="981-443655"/>
    <s v="Torikatu 38"/>
    <m/>
    <s v="Oulu"/>
    <m/>
    <n v="90110"/>
    <x v="4"/>
    <s v="EMEA"/>
    <s v="Koskitalo"/>
    <s v="Pirkko"/>
    <s v="Medium"/>
  </r>
  <r>
    <n v="10253"/>
    <n v="39"/>
    <n v="100"/>
    <n v="8"/>
    <x v="1947"/>
    <d v="2004-06-01T00:00:00"/>
    <s v="Cancelled"/>
    <n v="2"/>
    <n v="6"/>
    <x v="1"/>
    <x v="1"/>
    <n v="140"/>
    <s v="S24_3856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266"/>
    <n v="24"/>
    <n v="100"/>
    <n v="9"/>
    <x v="1948"/>
    <d v="2004-07-06T00:00:00"/>
    <s v="Shipped"/>
    <n v="3"/>
    <n v="7"/>
    <x v="1"/>
    <x v="1"/>
    <n v="140"/>
    <s v="S24_385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278"/>
    <n v="25"/>
    <n v="100"/>
    <n v="9"/>
    <x v="1949"/>
    <d v="2004-08-06T00:00:00"/>
    <s v="Shipped"/>
    <n v="3"/>
    <n v="8"/>
    <x v="1"/>
    <x v="1"/>
    <n v="140"/>
    <s v="S24_3856"/>
    <s v="Signal Gift Stores"/>
    <n v="7025551838"/>
    <s v="8489 Strong St."/>
    <m/>
    <s v="Las Vegas"/>
    <s v="NV"/>
    <n v="83030"/>
    <x v="0"/>
    <s v="NA"/>
    <s v="King"/>
    <s v="Sue"/>
    <s v="Medium"/>
  </r>
  <r>
    <n v="10287"/>
    <n v="36"/>
    <n v="100"/>
    <n v="7"/>
    <x v="1950"/>
    <d v="2004-08-30T00:00:00"/>
    <s v="Shipped"/>
    <n v="3"/>
    <n v="8"/>
    <x v="1"/>
    <x v="1"/>
    <n v="140"/>
    <s v="S24_3856"/>
    <s v="Vida Sport, Ltd"/>
    <s v="0897-034555"/>
    <s v="Grenzacherweg 237"/>
    <m/>
    <s v="Gensve"/>
    <m/>
    <n v="1203"/>
    <x v="17"/>
    <s v="EMEA"/>
    <s v="Holz"/>
    <s v="Michael"/>
    <s v="Medium"/>
  </r>
  <r>
    <n v="10301"/>
    <n v="50"/>
    <n v="100"/>
    <n v="11"/>
    <x v="1951"/>
    <d v="2003-10-05T00:00:00"/>
    <s v="Shipped"/>
    <n v="4"/>
    <n v="10"/>
    <x v="0"/>
    <x v="1"/>
    <n v="140"/>
    <s v="S24_3856"/>
    <s v="Norway Gifts By Mail, Co."/>
    <s v="+47 2212 1555"/>
    <s v="Drammensveien 126 A, PB 744 Sentrum"/>
    <m/>
    <s v="Oslo"/>
    <m/>
    <s v="N 0106"/>
    <x v="2"/>
    <s v="EMEA"/>
    <s v="Klaeboe"/>
    <s v="Jan"/>
    <s v="Large"/>
  </r>
  <r>
    <n v="10310"/>
    <n v="45"/>
    <n v="100"/>
    <n v="5"/>
    <x v="1952"/>
    <d v="2004-10-16T00:00:00"/>
    <s v="Shipped"/>
    <n v="4"/>
    <n v="10"/>
    <x v="1"/>
    <x v="1"/>
    <n v="140"/>
    <s v="S24_3856"/>
    <s v="Toms Spezialitten, Ltd"/>
    <s v="0221-5554327"/>
    <s v="Mehrheimerstr. 369"/>
    <m/>
    <s v="Koln"/>
    <m/>
    <n v="50739"/>
    <x v="16"/>
    <s v="EMEA"/>
    <s v="Pfalzheim"/>
    <s v="Henriette"/>
    <s v="Medium"/>
  </r>
  <r>
    <n v="10321"/>
    <n v="26"/>
    <n v="100"/>
    <n v="13"/>
    <x v="1953"/>
    <d v="2004-11-04T00:00:00"/>
    <s v="Shipped"/>
    <n v="4"/>
    <n v="11"/>
    <x v="1"/>
    <x v="1"/>
    <n v="140"/>
    <s v="S24_3856"/>
    <s v="FunGiftIdeas.com"/>
    <n v="5085552555"/>
    <s v="1785 First Street"/>
    <m/>
    <s v="New Bedford"/>
    <s v="MA"/>
    <n v="50553"/>
    <x v="0"/>
    <s v="NA"/>
    <s v="Benitez"/>
    <s v="Violeta"/>
    <s v="Medium"/>
  </r>
  <r>
    <n v="10331"/>
    <n v="21"/>
    <n v="100"/>
    <n v="1"/>
    <x v="1954"/>
    <d v="2004-11-17T00:00:00"/>
    <s v="Shipped"/>
    <n v="4"/>
    <n v="11"/>
    <x v="1"/>
    <x v="1"/>
    <n v="140"/>
    <s v="S24_3856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2"/>
    <n v="42"/>
    <n v="100"/>
    <n v="6"/>
    <x v="1955"/>
    <d v="2004-11-24T00:00:00"/>
    <s v="Shipped"/>
    <n v="4"/>
    <n v="11"/>
    <x v="1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355"/>
    <n v="32"/>
    <n v="100"/>
    <n v="8"/>
    <x v="1956"/>
    <d v="2004-12-07T00:00:00"/>
    <s v="Shipped"/>
    <n v="4"/>
    <n v="12"/>
    <x v="1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Medium"/>
  </r>
  <r>
    <n v="10363"/>
    <n v="31"/>
    <n v="94.58"/>
    <n v="1"/>
    <x v="1957"/>
    <d v="2005-01-06T00:00:00"/>
    <s v="Shipped"/>
    <n v="1"/>
    <n v="1"/>
    <x v="2"/>
    <x v="1"/>
    <n v="140"/>
    <s v="S24_3856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378"/>
    <n v="33"/>
    <n v="53.27"/>
    <n v="3"/>
    <x v="1958"/>
    <d v="2005-02-10T00:00:00"/>
    <s v="Shipped"/>
    <n v="1"/>
    <n v="2"/>
    <x v="2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s v="Small"/>
  </r>
  <r>
    <n v="10390"/>
    <n v="45"/>
    <n v="100"/>
    <n v="8"/>
    <x v="1959"/>
    <d v="2005-03-04T00:00:00"/>
    <s v="Shipped"/>
    <n v="1"/>
    <n v="3"/>
    <x v="2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5"/>
    <n v="76"/>
    <n v="100"/>
    <n v="3"/>
    <x v="1960"/>
    <d v="2005-04-14T00:00:00"/>
    <s v="Shipped"/>
    <n v="2"/>
    <n v="4"/>
    <x v="2"/>
    <x v="1"/>
    <n v="140"/>
    <s v="S24_3856"/>
    <s v="Mini Caravy"/>
    <s v="88.60.1555"/>
    <s v="24, place Kluber"/>
    <m/>
    <s v="Strasbourg"/>
    <m/>
    <n v="67000"/>
    <x v="1"/>
    <s v="EMEA"/>
    <s v="Citeaux"/>
    <s v="Frederique"/>
    <s v="Large"/>
  </r>
  <r>
    <n v="10419"/>
    <n v="70"/>
    <n v="100"/>
    <n v="8"/>
    <x v="1961"/>
    <d v="2005-05-17T00:00:00"/>
    <s v="Shipped"/>
    <n v="2"/>
    <n v="5"/>
    <x v="2"/>
    <x v="1"/>
    <n v="140"/>
    <s v="S24_3856"/>
    <s v="Salzburg Collectables"/>
    <s v="6562-9555"/>
    <s v="Geislweg 14"/>
    <m/>
    <s v="Salzburg"/>
    <m/>
    <n v="5020"/>
    <x v="5"/>
    <s v="EMEA"/>
    <s v="Pipps"/>
    <s v="Georg"/>
    <s v="Large"/>
  </r>
  <r>
    <n v="10106"/>
    <n v="50"/>
    <n v="64.83"/>
    <n v="11"/>
    <x v="1962"/>
    <d v="2003-02-17T00:00:00"/>
    <s v="Shipped"/>
    <n v="1"/>
    <n v="2"/>
    <x v="0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8"/>
    <n v="70.290000000000006"/>
    <n v="2"/>
    <x v="1963"/>
    <d v="2003-04-28T00:00:00"/>
    <s v="Shipped"/>
    <n v="2"/>
    <n v="4"/>
    <x v="0"/>
    <x v="4"/>
    <n v="68"/>
    <s v="S24_3949"/>
    <s v="Salzburg Collectables"/>
    <s v="6562-9555"/>
    <s v="Geislweg 14"/>
    <m/>
    <s v="Salzburg"/>
    <m/>
    <n v="5020"/>
    <x v="5"/>
    <s v="EMEA"/>
    <s v="Pipps"/>
    <s v="Georg"/>
    <s v="Small"/>
  </r>
  <r>
    <n v="10131"/>
    <n v="50"/>
    <n v="81.89"/>
    <n v="3"/>
    <x v="1964"/>
    <d v="2003-06-16T00:00:00"/>
    <s v="Shipped"/>
    <n v="2"/>
    <n v="6"/>
    <x v="0"/>
    <x v="4"/>
    <n v="68"/>
    <s v="S24_3949"/>
    <s v="Gift Ideas Corp."/>
    <n v="2035554407"/>
    <s v="2440 Pompton St."/>
    <m/>
    <s v="Glendale"/>
    <s v="CT"/>
    <n v="97561"/>
    <x v="0"/>
    <s v="NA"/>
    <s v="Lewis"/>
    <s v="Dan"/>
    <s v="Medium"/>
  </r>
  <r>
    <n v="10143"/>
    <n v="28"/>
    <n v="66.19"/>
    <n v="6"/>
    <x v="1965"/>
    <d v="2003-08-10T00:00:00"/>
    <s v="Shipped"/>
    <n v="3"/>
    <n v="8"/>
    <x v="0"/>
    <x v="4"/>
    <n v="68"/>
    <s v="S24_3949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4"/>
    <n v="77.11"/>
    <n v="4"/>
    <x v="1966"/>
    <d v="2003-10-06T00:00:00"/>
    <s v="Shipped"/>
    <n v="4"/>
    <n v="10"/>
    <x v="0"/>
    <x v="4"/>
    <n v="68"/>
    <s v="S24_3949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27"/>
    <n v="73.02"/>
    <n v="18"/>
    <x v="1967"/>
    <d v="2003-10-28T00:00:00"/>
    <s v="Shipped"/>
    <n v="4"/>
    <n v="10"/>
    <x v="0"/>
    <x v="4"/>
    <n v="68"/>
    <s v="S24_3949"/>
    <s v="Technics Stores Inc."/>
    <n v="6505556809"/>
    <s v="9408 Furth Circle"/>
    <m/>
    <s v="Burlingame"/>
    <s v="CA"/>
    <n v="94217"/>
    <x v="0"/>
    <s v="NA"/>
    <s v="Hirano"/>
    <s v="Juri"/>
    <s v="Small"/>
  </r>
  <r>
    <n v="10178"/>
    <n v="30"/>
    <n v="72.33"/>
    <n v="3"/>
    <x v="1968"/>
    <d v="2003-11-08T00:00:00"/>
    <s v="Shipped"/>
    <n v="4"/>
    <n v="11"/>
    <x v="0"/>
    <x v="4"/>
    <n v="68"/>
    <s v="S24_3949"/>
    <s v="Alpha Cognac"/>
    <s v="61.77.6555"/>
    <s v="1 rue Alsace-Lorraine"/>
    <m/>
    <s v="Toulouse"/>
    <m/>
    <n v="31000"/>
    <x v="1"/>
    <s v="EMEA"/>
    <s v="Roulet"/>
    <s v="Annette"/>
    <s v="Small"/>
  </r>
  <r>
    <n v="10198"/>
    <n v="43"/>
    <n v="66.19"/>
    <n v="3"/>
    <x v="1969"/>
    <d v="2003-11-27T00:00:00"/>
    <s v="Shipped"/>
    <n v="4"/>
    <n v="11"/>
    <x v="0"/>
    <x v="4"/>
    <n v="68"/>
    <s v="S24_3949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29"/>
    <n v="69.599999999999994"/>
    <n v="16"/>
    <x v="1970"/>
    <d v="2004-01-12T00:00:00"/>
    <s v="Shipped"/>
    <n v="1"/>
    <n v="1"/>
    <x v="1"/>
    <x v="4"/>
    <n v="68"/>
    <s v="S24_3949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8"/>
    <n v="56.64"/>
    <n v="3"/>
    <x v="1971"/>
    <d v="2004-02-19T00:00:00"/>
    <s v="Shipped"/>
    <n v="1"/>
    <n v="2"/>
    <x v="1"/>
    <x v="4"/>
    <n v="68"/>
    <s v="S24_3949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5"/>
    <n v="33"/>
    <n v="60.05"/>
    <n v="12"/>
    <x v="1972"/>
    <d v="2004-04-02T00:00:00"/>
    <s v="Shipped"/>
    <n v="2"/>
    <n v="4"/>
    <x v="1"/>
    <x v="4"/>
    <n v="68"/>
    <s v="S24_394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0"/>
    <n v="75.06"/>
    <n v="13"/>
    <x v="1973"/>
    <d v="2004-05-11T00:00:00"/>
    <s v="Shipped"/>
    <n v="2"/>
    <n v="5"/>
    <x v="1"/>
    <x v="4"/>
    <n v="68"/>
    <s v="S24_3949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48"/>
    <n v="61.42"/>
    <n v="8"/>
    <x v="1974"/>
    <d v="2004-06-24T00:00:00"/>
    <s v="Cancelled"/>
    <n v="2"/>
    <n v="6"/>
    <x v="1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41"/>
    <n v="81.89"/>
    <n v="18"/>
    <x v="1975"/>
    <d v="2004-07-23T00:00:00"/>
    <s v="Shipped"/>
    <n v="3"/>
    <n v="7"/>
    <x v="1"/>
    <x v="4"/>
    <n v="68"/>
    <s v="S24_3949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21"/>
    <n v="55.96"/>
    <n v="10"/>
    <x v="1976"/>
    <d v="2004-08-21T00:00:00"/>
    <s v="Shipped"/>
    <n v="3"/>
    <n v="8"/>
    <x v="1"/>
    <x v="4"/>
    <n v="68"/>
    <s v="S24_3949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32"/>
    <n v="71.650000000000006"/>
    <n v="6"/>
    <x v="1977"/>
    <d v="2004-09-15T00:00:00"/>
    <s v="Shipped"/>
    <n v="3"/>
    <n v="9"/>
    <x v="1"/>
    <x v="4"/>
    <n v="68"/>
    <s v="S24_3949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43"/>
    <n v="76.430000000000007"/>
    <n v="16"/>
    <x v="1978"/>
    <d v="2004-10-15T00:00:00"/>
    <s v="Shipped"/>
    <n v="4"/>
    <n v="10"/>
    <x v="1"/>
    <x v="4"/>
    <n v="68"/>
    <s v="S24_3949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30"/>
    <n v="77.790000000000006"/>
    <n v="8"/>
    <x v="1979"/>
    <d v="2004-11-01T00:00:00"/>
    <s v="Shipped"/>
    <n v="4"/>
    <n v="11"/>
    <x v="1"/>
    <x v="4"/>
    <n v="68"/>
    <s v="S24_394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5"/>
    <n v="76.430000000000007"/>
    <n v="3"/>
    <x v="1980"/>
    <d v="2004-11-12T00:00:00"/>
    <s v="Shipped"/>
    <n v="4"/>
    <n v="11"/>
    <x v="1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s v="Small"/>
  </r>
  <r>
    <n v="10339"/>
    <n v="45"/>
    <n v="96.92"/>
    <n v="11"/>
    <x v="1981"/>
    <d v="2004-11-23T00:00:00"/>
    <s v="Shipped"/>
    <n v="4"/>
    <n v="11"/>
    <x v="1"/>
    <x v="4"/>
    <n v="68"/>
    <s v="S24_3949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1"/>
    <n v="34"/>
    <n v="59.37"/>
    <n v="3"/>
    <x v="1982"/>
    <d v="2004-12-03T00:00:00"/>
    <s v="Shipped"/>
    <n v="4"/>
    <n v="12"/>
    <x v="1"/>
    <x v="4"/>
    <n v="68"/>
    <s v="S24_3949"/>
    <s v="Stylish Desk Decors, Co."/>
    <s v="(171) 555-0297"/>
    <s v="35 King George"/>
    <m/>
    <s v="London"/>
    <m/>
    <s v="WX3 6FW"/>
    <x v="6"/>
    <s v="EMEA"/>
    <s v="Brown"/>
    <s v="Ann"/>
    <s v="Small"/>
  </r>
  <r>
    <n v="10361"/>
    <n v="26"/>
    <n v="100"/>
    <n v="7"/>
    <x v="1983"/>
    <d v="2004-12-17T00:00:00"/>
    <s v="Shipped"/>
    <n v="4"/>
    <n v="12"/>
    <x v="1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39"/>
    <n v="73"/>
    <n v="13"/>
    <x v="1984"/>
    <d v="2005-01-31T00:00:00"/>
    <s v="Shipped"/>
    <n v="1"/>
    <n v="1"/>
    <x v="2"/>
    <x v="4"/>
    <n v="68"/>
    <s v="S24_3949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41"/>
    <n v="73.319999999999993"/>
    <n v="12"/>
    <x v="1985"/>
    <d v="2005-03-01T00:00:00"/>
    <s v="Resolved"/>
    <n v="1"/>
    <n v="3"/>
    <x v="2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41"/>
    <n v="68.239999999999995"/>
    <n v="2"/>
    <x v="1986"/>
    <d v="2005-03-30T00:00:00"/>
    <s v="Shipped"/>
    <n v="1"/>
    <n v="3"/>
    <x v="2"/>
    <x v="4"/>
    <n v="68"/>
    <s v="S24_3949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64"/>
    <n v="60.05"/>
    <n v="12"/>
    <x v="1987"/>
    <d v="2005-04-03T00:00:00"/>
    <s v="On Hold"/>
    <n v="2"/>
    <n v="4"/>
    <x v="2"/>
    <x v="4"/>
    <n v="68"/>
    <s v="S24_3949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18"/>
    <n v="75.06"/>
    <n v="13"/>
    <x v="1988"/>
    <d v="2005-05-10T00:00:00"/>
    <s v="Shipped"/>
    <n v="2"/>
    <n v="5"/>
    <x v="2"/>
    <x v="4"/>
    <n v="68"/>
    <s v="S24_394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0"/>
    <n v="49"/>
    <n v="34.47"/>
    <n v="1"/>
    <x v="1989"/>
    <d v="2003-01-06T00:00:00"/>
    <s v="Shipped"/>
    <n v="1"/>
    <n v="1"/>
    <x v="0"/>
    <x v="3"/>
    <n v="41"/>
    <s v="S24_3969"/>
    <s v="Online Diecast Creations Co."/>
    <n v="6035558647"/>
    <s v="2304 Long Airport Avenue"/>
    <m/>
    <s v="Nashua"/>
    <s v="NH"/>
    <n v="62005"/>
    <x v="0"/>
    <s v="NA"/>
    <s v="Young"/>
    <s v="Valarie"/>
    <s v="Small"/>
  </r>
  <r>
    <n v="10110"/>
    <n v="48"/>
    <n v="34.47"/>
    <n v="5"/>
    <x v="1990"/>
    <d v="2003-03-18T00:00:00"/>
    <s v="Shipped"/>
    <n v="1"/>
    <n v="3"/>
    <x v="0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s v="Small"/>
  </r>
  <r>
    <n v="10124"/>
    <n v="46"/>
    <n v="33.229999999999997"/>
    <n v="4"/>
    <x v="1991"/>
    <d v="2003-05-21T00:00:00"/>
    <s v="Shipped"/>
    <n v="2"/>
    <n v="5"/>
    <x v="0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s v="Small"/>
  </r>
  <r>
    <n v="10149"/>
    <n v="26"/>
    <n v="38.979999999999997"/>
    <n v="9"/>
    <x v="1992"/>
    <d v="2003-09-12T00:00:00"/>
    <s v="Shipped"/>
    <n v="3"/>
    <n v="9"/>
    <x v="0"/>
    <x v="3"/>
    <n v="41"/>
    <s v="S24_3969"/>
    <s v="Signal Collectibles Ltd."/>
    <n v="4155554312"/>
    <s v="2793 Furth Circle"/>
    <m/>
    <s v="Brisbane"/>
    <s v="CA"/>
    <n v="94217"/>
    <x v="0"/>
    <s v="NA"/>
    <s v="Taylor"/>
    <s v="Sue"/>
    <s v="Small"/>
  </r>
  <r>
    <n v="10162"/>
    <n v="37"/>
    <n v="38.979999999999997"/>
    <n v="7"/>
    <x v="1993"/>
    <d v="2003-10-18T00:00:00"/>
    <s v="Shipped"/>
    <n v="4"/>
    <n v="10"/>
    <x v="0"/>
    <x v="3"/>
    <n v="41"/>
    <s v="S24_3969"/>
    <s v="Corporate Gift Ideas Co."/>
    <n v="6505551386"/>
    <s v="7734 Strong St."/>
    <m/>
    <s v="San Francisco"/>
    <s v="CA"/>
    <m/>
    <x v="0"/>
    <s v="NA"/>
    <s v="Brown"/>
    <s v="Julie"/>
    <s v="Small"/>
  </r>
  <r>
    <n v="10173"/>
    <n v="35"/>
    <n v="33.229999999999997"/>
    <n v="11"/>
    <x v="1994"/>
    <d v="2003-11-05T00:00:00"/>
    <s v="Shipped"/>
    <n v="4"/>
    <n v="11"/>
    <x v="0"/>
    <x v="3"/>
    <n v="41"/>
    <s v="S24_3969"/>
    <s v="Rovelli Gifts"/>
    <s v="035-640555"/>
    <s v="Via Ludovico il Moro 22"/>
    <m/>
    <s v="Bergamo"/>
    <m/>
    <n v="24100"/>
    <x v="12"/>
    <s v="EMEA"/>
    <s v="Rovelli"/>
    <s v="Giovanni"/>
    <s v="Small"/>
  </r>
  <r>
    <n v="10182"/>
    <n v="23"/>
    <n v="42.26"/>
    <n v="8"/>
    <x v="1995"/>
    <d v="2003-11-12T00:00:00"/>
    <s v="Shipped"/>
    <n v="4"/>
    <n v="11"/>
    <x v="0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93"/>
    <n v="22"/>
    <n v="41.03"/>
    <n v="12"/>
    <x v="1996"/>
    <d v="2003-11-21T00:00:00"/>
    <s v="Shipped"/>
    <n v="4"/>
    <n v="11"/>
    <x v="0"/>
    <x v="3"/>
    <n v="41"/>
    <s v="S24_3969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4"/>
    <n v="39"/>
    <n v="33.229999999999997"/>
    <n v="2"/>
    <x v="1997"/>
    <d v="2003-12-02T00:00:00"/>
    <s v="Shipped"/>
    <n v="4"/>
    <n v="12"/>
    <x v="0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s v="Small"/>
  </r>
  <r>
    <n v="10214"/>
    <n v="44"/>
    <n v="34.880000000000003"/>
    <n v="5"/>
    <x v="1998"/>
    <d v="2004-01-26T00:00:00"/>
    <s v="Shipped"/>
    <n v="1"/>
    <n v="1"/>
    <x v="1"/>
    <x v="3"/>
    <n v="41"/>
    <s v="S24_3969"/>
    <s v="Corrida Auto Replicas, Ltd"/>
    <s v="(91) 555 22 82"/>
    <s v="C/ Araquil, 67"/>
    <m/>
    <s v="Madrid"/>
    <m/>
    <n v="28023"/>
    <x v="7"/>
    <s v="EMEA"/>
    <s v="Sommer"/>
    <s v="Mart¡n"/>
    <s v="Small"/>
  </r>
  <r>
    <n v="10227"/>
    <n v="27"/>
    <n v="43.9"/>
    <n v="8"/>
    <x v="1999"/>
    <d v="2004-03-02T00:00:00"/>
    <s v="Shipped"/>
    <n v="1"/>
    <n v="3"/>
    <x v="1"/>
    <x v="3"/>
    <n v="41"/>
    <s v="S24_3969"/>
    <s v="Saveley &amp; Henriot, Co."/>
    <s v="78.32.5555"/>
    <s v="2, rue du Commerce"/>
    <m/>
    <s v="Lyon"/>
    <m/>
    <n v="69004"/>
    <x v="1"/>
    <s v="EMEA"/>
    <s v="Saveley"/>
    <s v="Mary"/>
    <s v="Small"/>
  </r>
  <r>
    <n v="10242"/>
    <n v="46"/>
    <n v="36.93"/>
    <n v="1"/>
    <x v="2000"/>
    <d v="2004-04-20T00:00:00"/>
    <s v="Shipped"/>
    <n v="2"/>
    <n v="4"/>
    <x v="1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280"/>
    <n v="33"/>
    <n v="41.85"/>
    <n v="14"/>
    <x v="2001"/>
    <d v="2004-08-17T00:00:00"/>
    <s v="Shipped"/>
    <n v="3"/>
    <n v="8"/>
    <x v="1"/>
    <x v="3"/>
    <n v="41"/>
    <s v="S24_3969"/>
    <s v="Amica Models &amp; Co."/>
    <s v="011-4988555"/>
    <s v="Via Monte Bianco 34"/>
    <m/>
    <s v="Torino"/>
    <m/>
    <n v="10100"/>
    <x v="12"/>
    <s v="EMEA"/>
    <s v="Accorti"/>
    <s v="Paolo"/>
    <s v="Small"/>
  </r>
  <r>
    <n v="10288"/>
    <n v="33"/>
    <n v="40.619999999999997"/>
    <n v="3"/>
    <x v="2002"/>
    <d v="2004-09-01T00:00:00"/>
    <s v="Shipped"/>
    <n v="3"/>
    <n v="9"/>
    <x v="1"/>
    <x v="3"/>
    <n v="41"/>
    <s v="S24_396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303"/>
    <n v="24"/>
    <n v="40.21"/>
    <n v="1"/>
    <x v="2003"/>
    <d v="2004-10-06T00:00:00"/>
    <s v="Shipped"/>
    <n v="4"/>
    <n v="10"/>
    <x v="1"/>
    <x v="3"/>
    <n v="41"/>
    <s v="S24_3969"/>
    <s v="Iberia Gift Imports, Corp."/>
    <s v="(95) 555 82 82"/>
    <s v="C/ Romero, 33"/>
    <m/>
    <s v="Sevilla"/>
    <m/>
    <n v="41101"/>
    <x v="7"/>
    <s v="EMEA"/>
    <s v="Roel"/>
    <s v="Jose Pedro"/>
    <s v="Small"/>
  </r>
  <r>
    <n v="10312"/>
    <n v="31"/>
    <n v="35.29"/>
    <n v="15"/>
    <x v="2004"/>
    <d v="2004-10-21T00:00:00"/>
    <s v="Shipped"/>
    <n v="4"/>
    <n v="10"/>
    <x v="1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32"/>
    <n v="41"/>
    <n v="77.239999999999995"/>
    <n v="14"/>
    <x v="2005"/>
    <d v="2004-11-17T00:00:00"/>
    <s v="Shipped"/>
    <n v="4"/>
    <n v="11"/>
    <x v="1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s v="Medium"/>
  </r>
  <r>
    <n v="10346"/>
    <n v="22"/>
    <n v="97.44"/>
    <n v="4"/>
    <x v="2006"/>
    <d v="2004-11-29T00:00:00"/>
    <s v="Shipped"/>
    <n v="4"/>
    <n v="11"/>
    <x v="1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s v="Small"/>
  </r>
  <r>
    <n v="10368"/>
    <n v="46"/>
    <n v="37.340000000000003"/>
    <n v="3"/>
    <x v="2007"/>
    <d v="2005-01-19T00:00:00"/>
    <s v="Shipped"/>
    <n v="1"/>
    <n v="1"/>
    <x v="2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0"/>
    <n v="43"/>
    <n v="95.03"/>
    <n v="12"/>
    <x v="2008"/>
    <d v="2005-02-16T00:00:00"/>
    <s v="Shipped"/>
    <n v="1"/>
    <n v="2"/>
    <x v="2"/>
    <x v="3"/>
    <n v="41"/>
    <s v="S24_3969"/>
    <s v="Euro Shopping Channel"/>
    <s v="(91) 555 94 44"/>
    <s v="C/ Moralzarzal, 86"/>
    <m/>
    <s v="Madrid"/>
    <m/>
    <n v="28034"/>
    <x v="7"/>
    <s v="EMEA"/>
    <s v="Freyre"/>
    <s v="Diego"/>
    <s v="Medium"/>
  </r>
  <r>
    <n v="10408"/>
    <n v="15"/>
    <n v="36.93"/>
    <n v="1"/>
    <x v="2009"/>
    <d v="2005-04-22T00:00:00"/>
    <s v="Shipped"/>
    <n v="2"/>
    <n v="4"/>
    <x v="2"/>
    <x v="3"/>
    <n v="41"/>
    <s v="S24_3969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420"/>
    <n v="15"/>
    <n v="43.49"/>
    <n v="3"/>
    <x v="2010"/>
    <d v="2005-05-29T00:00:00"/>
    <s v="In Process"/>
    <n v="2"/>
    <n v="5"/>
    <x v="2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104"/>
    <n v="26"/>
    <n v="100"/>
    <n v="5"/>
    <x v="2011"/>
    <d v="2003-01-31T00:00:00"/>
    <s v="Shipped"/>
    <n v="1"/>
    <n v="1"/>
    <x v="0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Small"/>
  </r>
  <r>
    <n v="10115"/>
    <n v="44"/>
    <n v="100"/>
    <n v="1"/>
    <x v="2012"/>
    <d v="2003-04-04T00:00:00"/>
    <s v="Shipped"/>
    <n v="2"/>
    <n v="4"/>
    <x v="0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27"/>
    <n v="20"/>
    <n v="96.99"/>
    <n v="7"/>
    <x v="2013"/>
    <d v="2003-06-03T00:00:00"/>
    <s v="Shipped"/>
    <n v="2"/>
    <n v="6"/>
    <x v="0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40"/>
    <n v="94.62"/>
    <n v="1"/>
    <x v="2014"/>
    <d v="2003-08-01T00:00:00"/>
    <s v="Shipped"/>
    <n v="3"/>
    <n v="8"/>
    <x v="0"/>
    <x v="1"/>
    <n v="118"/>
    <s v="S24_4048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2"/>
    <n v="23"/>
    <n v="100"/>
    <n v="3"/>
    <x v="2015"/>
    <d v="2003-09-25T00:00:00"/>
    <s v="Shipped"/>
    <n v="3"/>
    <n v="9"/>
    <x v="0"/>
    <x v="1"/>
    <n v="118"/>
    <s v="S24_4048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24"/>
    <n v="99.36"/>
    <n v="8"/>
    <x v="2016"/>
    <d v="2003-10-22T00:00:00"/>
    <s v="Shipped"/>
    <n v="4"/>
    <n v="10"/>
    <x v="0"/>
    <x v="1"/>
    <n v="118"/>
    <s v="S24_4048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9"/>
    <n v="100"/>
    <n v="7"/>
    <x v="2017"/>
    <d v="2003-11-06T00:00:00"/>
    <s v="Shipped"/>
    <n v="4"/>
    <n v="11"/>
    <x v="0"/>
    <x v="1"/>
    <n v="118"/>
    <s v="S24_4048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49"/>
    <n v="100"/>
    <n v="2"/>
    <x v="2018"/>
    <d v="2003-11-14T00:00:00"/>
    <s v="Shipped"/>
    <n v="4"/>
    <n v="11"/>
    <x v="0"/>
    <x v="1"/>
    <n v="118"/>
    <s v="S24_4048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34"/>
    <n v="100"/>
    <n v="2"/>
    <x v="2019"/>
    <d v="2003-11-25T00:00:00"/>
    <s v="Shipped"/>
    <n v="4"/>
    <n v="11"/>
    <x v="0"/>
    <x v="1"/>
    <n v="118"/>
    <s v="S24_4048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100"/>
    <n v="3"/>
    <x v="2020"/>
    <d v="2003-12-09T00:00:00"/>
    <s v="Shipped"/>
    <n v="4"/>
    <n v="12"/>
    <x v="0"/>
    <x v="1"/>
    <n v="118"/>
    <s v="S24_4048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7"/>
    <x v="2021"/>
    <d v="2004-02-12T00:00:00"/>
    <s v="Shipped"/>
    <n v="1"/>
    <n v="2"/>
    <x v="1"/>
    <x v="1"/>
    <n v="118"/>
    <s v="S24_4048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45"/>
    <n v="100"/>
    <n v="5"/>
    <x v="2022"/>
    <d v="2004-03-15T00:00:00"/>
    <s v="Shipped"/>
    <n v="1"/>
    <n v="3"/>
    <x v="1"/>
    <x v="1"/>
    <n v="118"/>
    <s v="S24_4048"/>
    <s v="Blauer See Auto, Co."/>
    <s v="+49 69 66 90 2555"/>
    <s v="Lyonerstr. 34"/>
    <m/>
    <s v="Frankfurt"/>
    <m/>
    <n v="60528"/>
    <x v="16"/>
    <s v="EMEA"/>
    <s v="Keitel"/>
    <s v="Roland"/>
    <s v="Medium"/>
  </r>
  <r>
    <n v="10246"/>
    <n v="46"/>
    <n v="100"/>
    <n v="1"/>
    <x v="2023"/>
    <d v="2004-05-05T00:00:00"/>
    <s v="Shipped"/>
    <n v="2"/>
    <n v="5"/>
    <x v="1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Medium"/>
  </r>
  <r>
    <n v="10271"/>
    <n v="22"/>
    <n v="100"/>
    <n v="1"/>
    <x v="2024"/>
    <d v="2004-07-20T00:00:00"/>
    <s v="Shipped"/>
    <n v="3"/>
    <n v="7"/>
    <x v="1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2"/>
    <n v="39"/>
    <n v="100"/>
    <n v="10"/>
    <x v="2025"/>
    <d v="2004-08-20T00:00:00"/>
    <s v="Shipped"/>
    <n v="3"/>
    <n v="8"/>
    <x v="1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27"/>
    <n v="100"/>
    <n v="4"/>
    <x v="2026"/>
    <d v="2004-09-08T00:00:00"/>
    <s v="Shipped"/>
    <n v="3"/>
    <n v="9"/>
    <x v="1"/>
    <x v="1"/>
    <n v="118"/>
    <s v="S24_4048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36"/>
    <n v="100"/>
    <n v="1"/>
    <x v="2027"/>
    <d v="2004-10-13T00:00:00"/>
    <s v="Shipped"/>
    <n v="4"/>
    <n v="10"/>
    <x v="1"/>
    <x v="1"/>
    <n v="118"/>
    <s v="S24_404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38"/>
    <n v="100"/>
    <n v="10"/>
    <x v="2028"/>
    <d v="2004-10-22T00:00:00"/>
    <s v="Shipped"/>
    <n v="4"/>
    <n v="10"/>
    <x v="1"/>
    <x v="1"/>
    <n v="118"/>
    <s v="S24_4048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44"/>
    <n v="100"/>
    <n v="5"/>
    <x v="2029"/>
    <d v="2004-11-05T00:00:00"/>
    <s v="Shipped"/>
    <n v="4"/>
    <n v="11"/>
    <x v="1"/>
    <x v="1"/>
    <n v="118"/>
    <s v="S24_4048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31"/>
    <n v="100"/>
    <n v="5"/>
    <x v="2030"/>
    <d v="2004-11-20T00:00:00"/>
    <s v="Shipped"/>
    <n v="4"/>
    <n v="11"/>
    <x v="1"/>
    <x v="1"/>
    <n v="118"/>
    <s v="S24_404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49"/>
    <n v="23"/>
    <n v="100"/>
    <n v="2"/>
    <x v="2031"/>
    <d v="2004-12-01T00:00:00"/>
    <s v="Shipped"/>
    <n v="4"/>
    <n v="12"/>
    <x v="1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s v="Medium"/>
  </r>
  <r>
    <n v="10359"/>
    <n v="22"/>
    <n v="100"/>
    <n v="7"/>
    <x v="2032"/>
    <d v="2004-12-15T00:00:00"/>
    <s v="Shipped"/>
    <n v="4"/>
    <n v="12"/>
    <x v="1"/>
    <x v="1"/>
    <n v="118"/>
    <s v="S24_4048"/>
    <s v="Reims Collectables"/>
    <s v="26.47.1555"/>
    <s v="59 rue de l'Abbaye"/>
    <m/>
    <s v="Reims"/>
    <m/>
    <n v="51100"/>
    <x v="1"/>
    <s v="EMEA"/>
    <s v="Henriot"/>
    <s v="Paul"/>
    <s v="Small"/>
  </r>
  <r>
    <n v="10371"/>
    <n v="28"/>
    <n v="50.32"/>
    <n v="9"/>
    <x v="2033"/>
    <d v="2005-01-23T00:00:00"/>
    <s v="Shipped"/>
    <n v="1"/>
    <n v="1"/>
    <x v="2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1"/>
    <n v="93.91"/>
    <n v="4"/>
    <x v="2034"/>
    <d v="2005-02-22T00:00:00"/>
    <s v="Shipped"/>
    <n v="1"/>
    <n v="2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7"/>
    <n v="100"/>
    <n v="7"/>
    <x v="2035"/>
    <d v="2005-03-15T00:00:00"/>
    <s v="Shipped"/>
    <n v="1"/>
    <n v="3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Medium"/>
  </r>
  <r>
    <n v="10412"/>
    <n v="31"/>
    <n v="100"/>
    <n v="1"/>
    <x v="2036"/>
    <d v="2005-05-03T00:00:00"/>
    <s v="Shipped"/>
    <n v="2"/>
    <n v="5"/>
    <x v="2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s v="Medium"/>
  </r>
  <r>
    <n v="10103"/>
    <n v="25"/>
    <n v="100"/>
    <n v="15"/>
    <x v="2037"/>
    <d v="2003-01-29T00:00:00"/>
    <s v="Shipped"/>
    <n v="1"/>
    <n v="1"/>
    <x v="0"/>
    <x v="3"/>
    <n v="97"/>
    <s v="S24_4258"/>
    <s v="Baane Mini Imports"/>
    <s v="07-98 9555"/>
    <s v="Erling Skakkes gate 78"/>
    <m/>
    <s v="Stavern"/>
    <m/>
    <n v="4110"/>
    <x v="2"/>
    <s v="EMEA"/>
    <s v="Bergulfsen"/>
    <s v="Jonas"/>
    <s v="Small"/>
  </r>
  <r>
    <n v="10111"/>
    <n v="26"/>
    <n v="86.68"/>
    <n v="3"/>
    <x v="2038"/>
    <d v="2003-03-25T00:00:00"/>
    <s v="Shipped"/>
    <n v="1"/>
    <n v="3"/>
    <x v="0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s v="Small"/>
  </r>
  <r>
    <n v="10126"/>
    <n v="34"/>
    <n v="100"/>
    <n v="15"/>
    <x v="2039"/>
    <d v="2003-05-28T00:00:00"/>
    <s v="Shipped"/>
    <n v="2"/>
    <n v="5"/>
    <x v="0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s v="Medium"/>
  </r>
  <r>
    <n v="10139"/>
    <n v="29"/>
    <n v="100"/>
    <n v="4"/>
    <x v="2040"/>
    <d v="2003-07-16T00:00:00"/>
    <s v="Shipped"/>
    <n v="3"/>
    <n v="7"/>
    <x v="0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149"/>
    <n v="20"/>
    <n v="90.57"/>
    <n v="1"/>
    <x v="2041"/>
    <d v="2003-09-12T00:00:00"/>
    <s v="Shipped"/>
    <n v="3"/>
    <n v="9"/>
    <x v="0"/>
    <x v="3"/>
    <n v="97"/>
    <s v="S24_4258"/>
    <s v="Signal Collectibles Ltd."/>
    <n v="4155554312"/>
    <s v="2793 Furth Circle"/>
    <m/>
    <s v="Brisbane"/>
    <s v="CA"/>
    <n v="94217"/>
    <x v="0"/>
    <s v="NA"/>
    <s v="Taylor"/>
    <s v="Sue"/>
    <s v="Small"/>
  </r>
  <r>
    <n v="10163"/>
    <n v="42"/>
    <n v="91.55"/>
    <n v="5"/>
    <x v="2042"/>
    <d v="2003-10-20T00:00:00"/>
    <s v="Shipped"/>
    <n v="4"/>
    <n v="10"/>
    <x v="0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173"/>
    <n v="22"/>
    <n v="100"/>
    <n v="3"/>
    <x v="2043"/>
    <d v="2003-11-05T00:00:00"/>
    <s v="Shipped"/>
    <n v="4"/>
    <n v="11"/>
    <x v="0"/>
    <x v="3"/>
    <n v="97"/>
    <s v="S24_4258"/>
    <s v="Rovelli Gifts"/>
    <s v="035-640555"/>
    <s v="Via Ludovico il Moro 22"/>
    <m/>
    <s v="Bergamo"/>
    <m/>
    <n v="24100"/>
    <x v="12"/>
    <s v="EMEA"/>
    <s v="Rovelli"/>
    <s v="Giovanni"/>
    <s v="Small"/>
  </r>
  <r>
    <n v="10183"/>
    <n v="47"/>
    <n v="100"/>
    <n v="12"/>
    <x v="2044"/>
    <d v="2003-11-13T00:00:00"/>
    <s v="Shipped"/>
    <n v="4"/>
    <n v="11"/>
    <x v="0"/>
    <x v="3"/>
    <n v="97"/>
    <s v="S24_4258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3"/>
    <n v="20"/>
    <n v="100"/>
    <n v="4"/>
    <x v="2045"/>
    <d v="2003-11-21T00:00:00"/>
    <s v="Shipped"/>
    <n v="4"/>
    <n v="11"/>
    <x v="0"/>
    <x v="3"/>
    <n v="97"/>
    <s v="S24_4258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206"/>
    <n v="33"/>
    <n v="97.39"/>
    <n v="10"/>
    <x v="2046"/>
    <d v="2003-12-05T00:00:00"/>
    <s v="Shipped"/>
    <n v="4"/>
    <n v="12"/>
    <x v="0"/>
    <x v="3"/>
    <n v="97"/>
    <s v="S24_4258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5"/>
    <n v="39"/>
    <n v="90.57"/>
    <n v="7"/>
    <x v="2047"/>
    <d v="2004-01-29T00:00:00"/>
    <s v="Shipped"/>
    <n v="1"/>
    <n v="1"/>
    <x v="1"/>
    <x v="3"/>
    <n v="97"/>
    <s v="S24_4258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28"/>
    <n v="33"/>
    <n v="100"/>
    <n v="6"/>
    <x v="2048"/>
    <d v="2004-03-10T00:00:00"/>
    <s v="Shipped"/>
    <n v="1"/>
    <n v="3"/>
    <x v="1"/>
    <x v="3"/>
    <n v="97"/>
    <s v="S24_4258"/>
    <s v="Cambridge Collectables Co."/>
    <n v="6175555555"/>
    <s v="4658 Baden Av."/>
    <m/>
    <s v="Cambridge"/>
    <s v="MA"/>
    <n v="51247"/>
    <x v="0"/>
    <s v="NA"/>
    <s v="Tseng"/>
    <s v="Kyung"/>
    <s v="Medium"/>
  </r>
  <r>
    <n v="10244"/>
    <n v="40"/>
    <n v="86.68"/>
    <n v="4"/>
    <x v="2049"/>
    <d v="2004-04-29T00:00:00"/>
    <s v="Shipped"/>
    <n v="2"/>
    <n v="4"/>
    <x v="1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s v="Medium"/>
  </r>
  <r>
    <n v="10257"/>
    <n v="46"/>
    <n v="78.89"/>
    <n v="4"/>
    <x v="2050"/>
    <d v="2004-06-14T00:00:00"/>
    <s v="Shipped"/>
    <n v="2"/>
    <n v="6"/>
    <x v="1"/>
    <x v="3"/>
    <n v="97"/>
    <s v="S24_4258"/>
    <s v="The Sharp Gifts Warehouse"/>
    <n v="4085553659"/>
    <s v="3086 Ingle Ln."/>
    <m/>
    <s v="San Jose"/>
    <s v="CA"/>
    <n v="94217"/>
    <x v="0"/>
    <s v="NA"/>
    <s v="Frick"/>
    <s v="Sue"/>
    <s v="Medium"/>
  </r>
  <r>
    <n v="10269"/>
    <n v="48"/>
    <n v="97.39"/>
    <n v="2"/>
    <x v="2051"/>
    <d v="2004-07-16T00:00:00"/>
    <s v="Shipped"/>
    <n v="3"/>
    <n v="7"/>
    <x v="1"/>
    <x v="3"/>
    <n v="97"/>
    <s v="S24_4258"/>
    <s v="Salzburg Collectables"/>
    <s v="6562-9555"/>
    <s v="Geislweg 14"/>
    <m/>
    <s v="Salzburg"/>
    <m/>
    <n v="5020"/>
    <x v="5"/>
    <s v="EMEA"/>
    <s v="Pipps"/>
    <s v="Georg"/>
    <s v="Medium"/>
  </r>
  <r>
    <n v="10280"/>
    <n v="21"/>
    <n v="78.89"/>
    <n v="6"/>
    <x v="2052"/>
    <d v="2004-08-17T00:00:00"/>
    <s v="Shipped"/>
    <n v="3"/>
    <n v="8"/>
    <x v="1"/>
    <x v="3"/>
    <n v="97"/>
    <s v="S24_4258"/>
    <s v="Amica Models &amp; Co."/>
    <s v="011-4988555"/>
    <s v="Via Monte Bianco 34"/>
    <m/>
    <s v="Torino"/>
    <m/>
    <n v="10100"/>
    <x v="12"/>
    <s v="EMEA"/>
    <s v="Accorti"/>
    <s v="Paolo"/>
    <s v="Small"/>
  </r>
  <r>
    <n v="10290"/>
    <n v="45"/>
    <n v="100"/>
    <n v="1"/>
    <x v="2053"/>
    <d v="2004-09-07T00:00:00"/>
    <s v="Shipped"/>
    <n v="3"/>
    <n v="9"/>
    <x v="1"/>
    <x v="3"/>
    <n v="97"/>
    <s v="S24_4258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304"/>
    <n v="33"/>
    <n v="100"/>
    <n v="10"/>
    <x v="2054"/>
    <d v="2004-10-11T00:00:00"/>
    <s v="Shipped"/>
    <n v="4"/>
    <n v="10"/>
    <x v="1"/>
    <x v="3"/>
    <n v="97"/>
    <s v="S24_4258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2"/>
    <n v="44"/>
    <n v="100"/>
    <n v="7"/>
    <x v="2055"/>
    <d v="2004-10-21T00:00:00"/>
    <s v="Shipped"/>
    <n v="4"/>
    <n v="10"/>
    <x v="1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24"/>
    <n v="33"/>
    <n v="100"/>
    <n v="3"/>
    <x v="2056"/>
    <d v="2004-11-05T00:00:00"/>
    <s v="Shipped"/>
    <n v="4"/>
    <n v="11"/>
    <x v="1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3"/>
    <n v="39"/>
    <n v="100"/>
    <n v="1"/>
    <x v="2057"/>
    <d v="2004-11-18T00:00:00"/>
    <s v="Shipped"/>
    <n v="4"/>
    <n v="11"/>
    <x v="1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s v="Medium"/>
  </r>
  <r>
    <n v="10348"/>
    <n v="39"/>
    <n v="50.31"/>
    <n v="2"/>
    <x v="2058"/>
    <d v="2004-11-01T00:00:00"/>
    <s v="Shipped"/>
    <n v="4"/>
    <n v="11"/>
    <x v="1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s v="Small"/>
  </r>
  <r>
    <n v="10358"/>
    <n v="41"/>
    <n v="100"/>
    <n v="6"/>
    <x v="2059"/>
    <d v="2004-12-10T00:00:00"/>
    <s v="Shipped"/>
    <n v="4"/>
    <n v="12"/>
    <x v="1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s v="Medium"/>
  </r>
  <r>
    <n v="10369"/>
    <n v="40"/>
    <n v="86.92"/>
    <n v="3"/>
    <x v="2060"/>
    <d v="2005-01-20T00:00:00"/>
    <s v="Shipped"/>
    <n v="1"/>
    <n v="1"/>
    <x v="2"/>
    <x v="3"/>
    <n v="97"/>
    <s v="S24_4258"/>
    <s v="Collectables For Less Inc."/>
    <n v="6175558555"/>
    <s v="7825 Douglas Av."/>
    <m/>
    <s v="Brickhaven"/>
    <s v="MA"/>
    <n v="58339"/>
    <x v="0"/>
    <s v="NA"/>
    <s v="Nelson"/>
    <s v="Allen"/>
    <s v="Medium"/>
  </r>
  <r>
    <n v="10382"/>
    <n v="33"/>
    <n v="100"/>
    <n v="4"/>
    <x v="2061"/>
    <d v="2005-02-17T00:00:00"/>
    <s v="Shipped"/>
    <n v="1"/>
    <n v="2"/>
    <x v="2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23"/>
    <n v="28"/>
    <n v="78.89"/>
    <n v="4"/>
    <x v="2062"/>
    <d v="2005-05-30T00:00:00"/>
    <s v="In Process"/>
    <n v="2"/>
    <n v="5"/>
    <x v="2"/>
    <x v="3"/>
    <n v="97"/>
    <s v="S24_4258"/>
    <s v="Petit Auto"/>
    <s v="(02) 5554 67"/>
    <s v="Rue Joseph-Bens 532"/>
    <m/>
    <s v="Bruxelles"/>
    <m/>
    <s v="B-1180"/>
    <x v="14"/>
    <s v="EMEA"/>
    <s v="Dewey"/>
    <s v="Catherine"/>
    <s v="Small"/>
  </r>
  <r>
    <n v="10106"/>
    <n v="26"/>
    <n v="63.76"/>
    <n v="3"/>
    <x v="2063"/>
    <d v="2003-02-17T00:00:00"/>
    <s v="Shipped"/>
    <n v="1"/>
    <n v="2"/>
    <x v="0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29"/>
    <n v="85.49"/>
    <n v="9"/>
    <x v="2064"/>
    <d v="2003-04-29T00:00:00"/>
    <s v="Shipped"/>
    <n v="2"/>
    <n v="4"/>
    <x v="0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6"/>
    <n v="77.52"/>
    <n v="4"/>
    <x v="2065"/>
    <d v="2003-06-27T00:00:00"/>
    <s v="Shipped"/>
    <n v="2"/>
    <n v="6"/>
    <x v="0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s v="Medium"/>
  </r>
  <r>
    <n v="10145"/>
    <n v="33"/>
    <n v="84.77"/>
    <n v="15"/>
    <x v="2066"/>
    <d v="2003-08-25T00:00:00"/>
    <s v="Shipped"/>
    <n v="3"/>
    <n v="8"/>
    <x v="0"/>
    <x v="4"/>
    <n v="72"/>
    <s v="S24_4278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48"/>
    <n v="78.25"/>
    <n v="10"/>
    <x v="2067"/>
    <d v="2003-10-28T00:00:00"/>
    <s v="Shipped"/>
    <n v="4"/>
    <n v="10"/>
    <x v="0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s v="Medium"/>
  </r>
  <r>
    <n v="10210"/>
    <n v="40"/>
    <n v="71"/>
    <n v="8"/>
    <x v="2068"/>
    <d v="2004-01-12T00:00:00"/>
    <s v="Shipped"/>
    <n v="1"/>
    <n v="1"/>
    <x v="1"/>
    <x v="4"/>
    <n v="72"/>
    <s v="S24_4278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3"/>
    <n v="74.62"/>
    <n v="10"/>
    <x v="2069"/>
    <d v="2004-02-20T00:00:00"/>
    <s v="Shipped"/>
    <n v="1"/>
    <n v="2"/>
    <x v="1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0"/>
    <n v="81.14"/>
    <n v="4"/>
    <x v="2070"/>
    <d v="2004-04-02T00:00:00"/>
    <s v="Shipped"/>
    <n v="2"/>
    <n v="4"/>
    <x v="1"/>
    <x v="4"/>
    <n v="72"/>
    <s v="S24_4278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7"/>
    <n v="74.62"/>
    <n v="5"/>
    <x v="2071"/>
    <d v="2004-05-11T00:00:00"/>
    <s v="Shipped"/>
    <n v="2"/>
    <n v="5"/>
    <x v="1"/>
    <x v="4"/>
    <n v="72"/>
    <s v="S24_4278"/>
    <s v="The Sharp Gifts Warehouse"/>
    <n v="4085553659"/>
    <s v="3086 Ingle Ln."/>
    <m/>
    <s v="San Jose"/>
    <s v="CA"/>
    <n v="94217"/>
    <x v="0"/>
    <s v="NA"/>
    <s v="Frick"/>
    <s v="Sue"/>
    <s v="Small"/>
  </r>
  <r>
    <n v="10263"/>
    <n v="24"/>
    <n v="75.349999999999994"/>
    <n v="11"/>
    <x v="2072"/>
    <d v="2004-06-28T00:00:00"/>
    <s v="Shipped"/>
    <n v="2"/>
    <n v="6"/>
    <x v="1"/>
    <x v="4"/>
    <n v="72"/>
    <s v="S24_4278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27"/>
    <n v="62.31"/>
    <n v="10"/>
    <x v="2073"/>
    <d v="2004-07-23T00:00:00"/>
    <s v="Shipped"/>
    <n v="3"/>
    <n v="7"/>
    <x v="1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1"/>
    <n v="71"/>
    <n v="2"/>
    <x v="2074"/>
    <d v="2004-08-21T00:00:00"/>
    <s v="Shipped"/>
    <n v="3"/>
    <n v="8"/>
    <x v="1"/>
    <x v="4"/>
    <n v="72"/>
    <s v="S24_4278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7"/>
    <n v="23"/>
    <n v="72.45"/>
    <n v="5"/>
    <x v="2075"/>
    <d v="2004-09-16T00:00:00"/>
    <s v="Shipped"/>
    <n v="3"/>
    <n v="9"/>
    <x v="1"/>
    <x v="4"/>
    <n v="72"/>
    <s v="S24_4278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4"/>
    <n v="83.32"/>
    <n v="8"/>
    <x v="2076"/>
    <d v="2004-10-15T00:00:00"/>
    <s v="Shipped"/>
    <n v="4"/>
    <n v="10"/>
    <x v="1"/>
    <x v="4"/>
    <n v="72"/>
    <s v="S24_4278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7"/>
    <n v="35"/>
    <n v="83.32"/>
    <n v="1"/>
    <x v="2077"/>
    <d v="2004-11-02T00:00:00"/>
    <s v="Shipped"/>
    <n v="4"/>
    <n v="11"/>
    <x v="1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s v="Small"/>
  </r>
  <r>
    <n v="10328"/>
    <n v="43"/>
    <n v="60.86"/>
    <n v="4"/>
    <x v="2078"/>
    <d v="2004-11-12T00:00:00"/>
    <s v="Shipped"/>
    <n v="4"/>
    <n v="11"/>
    <x v="1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40"/>
    <n v="84.77"/>
    <n v="1"/>
    <x v="2079"/>
    <d v="2004-11-24T00:00:00"/>
    <s v="Shipped"/>
    <n v="4"/>
    <n v="11"/>
    <x v="1"/>
    <x v="4"/>
    <n v="72"/>
    <s v="S24_4278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35"/>
    <n v="89.9"/>
    <n v="3"/>
    <x v="2080"/>
    <d v="2004-12-04T00:00:00"/>
    <s v="Shipped"/>
    <n v="4"/>
    <n v="12"/>
    <x v="1"/>
    <x v="4"/>
    <n v="72"/>
    <s v="S24_4278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25"/>
    <n v="62.46"/>
    <n v="1"/>
    <x v="2081"/>
    <d v="2004-12-17T00:00:00"/>
    <s v="Shipped"/>
    <n v="4"/>
    <n v="12"/>
    <x v="1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3"/>
    <n v="100"/>
    <n v="2"/>
    <x v="2082"/>
    <d v="2005-02-03T00:00:00"/>
    <s v="Shipped"/>
    <n v="1"/>
    <n v="2"/>
    <x v="2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s v="Large"/>
  </r>
  <r>
    <n v="10386"/>
    <n v="50"/>
    <n v="63.34"/>
    <n v="8"/>
    <x v="2083"/>
    <d v="2005-03-01T00:00:00"/>
    <s v="Resolved"/>
    <n v="1"/>
    <n v="3"/>
    <x v="2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45"/>
    <n v="78.25"/>
    <n v="14"/>
    <x v="2084"/>
    <d v="2005-03-30T00:00:00"/>
    <s v="Shipped"/>
    <n v="1"/>
    <n v="3"/>
    <x v="2"/>
    <x v="4"/>
    <n v="72"/>
    <s v="S24_4278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52"/>
    <n v="81.14"/>
    <n v="4"/>
    <x v="2085"/>
    <d v="2005-04-03T00:00:00"/>
    <s v="On Hold"/>
    <n v="2"/>
    <n v="4"/>
    <x v="2"/>
    <x v="4"/>
    <n v="72"/>
    <s v="S24_4278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8"/>
    <n v="74.62"/>
    <n v="5"/>
    <x v="2086"/>
    <d v="2005-05-10T00:00:00"/>
    <s v="Shipped"/>
    <n v="2"/>
    <n v="5"/>
    <x v="2"/>
    <x v="4"/>
    <n v="72"/>
    <s v="S24_4278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8"/>
    <n v="31"/>
    <n v="68.709999999999994"/>
    <n v="10"/>
    <x v="2087"/>
    <d v="2003-03-03T00:00:00"/>
    <s v="Shipped"/>
    <n v="1"/>
    <n v="3"/>
    <x v="0"/>
    <x v="1"/>
    <n v="80"/>
    <s v="S24_4620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29"/>
    <n v="71.14"/>
    <n v="14"/>
    <x v="2088"/>
    <d v="2003-05-08T00:00:00"/>
    <s v="Shipped"/>
    <n v="2"/>
    <n v="5"/>
    <x v="0"/>
    <x v="1"/>
    <n v="80"/>
    <s v="S24_4620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23"/>
    <n v="87.31"/>
    <n v="11"/>
    <x v="2089"/>
    <d v="2003-07-02T00:00:00"/>
    <s v="Shipped"/>
    <n v="3"/>
    <n v="7"/>
    <x v="0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7"/>
    <n v="31"/>
    <n v="64.67"/>
    <n v="11"/>
    <x v="2090"/>
    <d v="2003-09-05T00:00:00"/>
    <s v="Shipped"/>
    <n v="3"/>
    <n v="9"/>
    <x v="0"/>
    <x v="1"/>
    <n v="80"/>
    <s v="S24_4620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159"/>
    <n v="23"/>
    <n v="67.099999999999994"/>
    <n v="6"/>
    <x v="2091"/>
    <d v="2003-10-10T00:00:00"/>
    <s v="Shipped"/>
    <n v="4"/>
    <n v="10"/>
    <x v="0"/>
    <x v="1"/>
    <n v="80"/>
    <s v="S24_4620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24"/>
    <n v="94.58"/>
    <n v="6"/>
    <x v="2092"/>
    <d v="2003-11-04T00:00:00"/>
    <s v="Shipped"/>
    <n v="4"/>
    <n v="11"/>
    <x v="0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28"/>
    <n v="71.14"/>
    <n v="1"/>
    <x v="2093"/>
    <d v="2003-11-11T00:00:00"/>
    <s v="Shipped"/>
    <n v="4"/>
    <n v="11"/>
    <x v="0"/>
    <x v="1"/>
    <n v="80"/>
    <s v="S24_4620"/>
    <s v="Daedalus Designs Imports"/>
    <s v="20.16.1555"/>
    <s v="184, chausse de Tournai"/>
    <m/>
    <s v="Lille"/>
    <m/>
    <n v="59000"/>
    <x v="1"/>
    <s v="EMEA"/>
    <s v="Rance"/>
    <s v="Martine"/>
    <s v="Small"/>
  </r>
  <r>
    <n v="10191"/>
    <n v="44"/>
    <n v="66.290000000000006"/>
    <n v="7"/>
    <x v="2094"/>
    <d v="2003-11-20T00:00:00"/>
    <s v="Shipped"/>
    <n v="4"/>
    <n v="11"/>
    <x v="0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s v="Small"/>
  </r>
  <r>
    <n v="10211"/>
    <n v="22"/>
    <n v="92.16"/>
    <n v="6"/>
    <x v="2095"/>
    <d v="2004-01-15T00:00:00"/>
    <s v="Shipped"/>
    <n v="1"/>
    <n v="1"/>
    <x v="1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s v="Small"/>
  </r>
  <r>
    <n v="10225"/>
    <n v="46"/>
    <n v="70.33"/>
    <n v="13"/>
    <x v="2096"/>
    <d v="2004-02-22T00:00:00"/>
    <s v="Shipped"/>
    <n v="1"/>
    <n v="2"/>
    <x v="1"/>
    <x v="1"/>
    <n v="80"/>
    <s v="S24_4620"/>
    <s v="Vida Sport, Ltd"/>
    <s v="0897-034555"/>
    <s v="Grenzacherweg 237"/>
    <m/>
    <s v="Gensve"/>
    <m/>
    <n v="1203"/>
    <x v="17"/>
    <s v="EMEA"/>
    <s v="Holz"/>
    <s v="Michael"/>
    <s v="Medium"/>
  </r>
  <r>
    <n v="10238"/>
    <n v="22"/>
    <n v="93.77"/>
    <n v="7"/>
    <x v="2097"/>
    <d v="2004-04-09T00:00:00"/>
    <s v="Shipped"/>
    <n v="2"/>
    <n v="4"/>
    <x v="1"/>
    <x v="1"/>
    <n v="80"/>
    <s v="S24_4620"/>
    <s v="Danish Wholesale Imports"/>
    <s v="31 12 3555"/>
    <s v="Vinb'ltet 34"/>
    <m/>
    <s v="Kobenhavn"/>
    <m/>
    <n v="1734"/>
    <x v="13"/>
    <s v="EMEA"/>
    <s v="Petersen"/>
    <s v="Jytte"/>
    <s v="Small"/>
  </r>
  <r>
    <n v="10252"/>
    <n v="38"/>
    <n v="87.31"/>
    <n v="3"/>
    <x v="2098"/>
    <d v="2004-05-26T00:00:00"/>
    <s v="Shipped"/>
    <n v="2"/>
    <n v="5"/>
    <x v="1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47"/>
    <n v="83.27"/>
    <n v="1"/>
    <x v="2099"/>
    <d v="2004-06-30T00:00:00"/>
    <s v="Shipped"/>
    <n v="2"/>
    <n v="6"/>
    <x v="1"/>
    <x v="1"/>
    <n v="80"/>
    <s v="S24_4620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48"/>
    <n v="75.180000000000007"/>
    <n v="7"/>
    <x v="2100"/>
    <d v="2004-08-02T00:00:00"/>
    <s v="Shipped"/>
    <n v="3"/>
    <n v="8"/>
    <x v="1"/>
    <x v="1"/>
    <n v="80"/>
    <s v="S24_4620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7"/>
    <n v="40"/>
    <n v="88.12"/>
    <n v="16"/>
    <x v="2101"/>
    <d v="2004-08-30T00:00:00"/>
    <s v="Shipped"/>
    <n v="3"/>
    <n v="8"/>
    <x v="1"/>
    <x v="1"/>
    <n v="80"/>
    <s v="S24_4620"/>
    <s v="Vida Sport, Ltd"/>
    <s v="0897-034555"/>
    <s v="Grenzacherweg 237"/>
    <m/>
    <s v="Gensve"/>
    <m/>
    <n v="1203"/>
    <x v="17"/>
    <s v="EMEA"/>
    <s v="Holz"/>
    <s v="Michael"/>
    <s v="Medium"/>
  </r>
  <r>
    <n v="10299"/>
    <n v="32"/>
    <n v="80.84"/>
    <n v="1"/>
    <x v="2102"/>
    <d v="2004-09-30T00:00:00"/>
    <s v="Shipped"/>
    <n v="3"/>
    <n v="9"/>
    <x v="1"/>
    <x v="1"/>
    <n v="80"/>
    <s v="S24_4620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49"/>
    <n v="97.01"/>
    <n v="14"/>
    <x v="2103"/>
    <d v="2004-10-16T00:00:00"/>
    <s v="Shipped"/>
    <n v="4"/>
    <n v="10"/>
    <x v="1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s v="Medium"/>
  </r>
  <r>
    <n v="10319"/>
    <n v="43"/>
    <n v="85.69"/>
    <n v="2"/>
    <x v="2104"/>
    <d v="2004-11-03T00:00:00"/>
    <s v="Shipped"/>
    <n v="4"/>
    <n v="11"/>
    <x v="1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41"/>
    <n v="100"/>
    <n v="2"/>
    <x v="2105"/>
    <d v="2004-11-17T00:00:00"/>
    <s v="Shipped"/>
    <n v="4"/>
    <n v="11"/>
    <x v="1"/>
    <x v="1"/>
    <n v="80"/>
    <s v="S24_4620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30"/>
    <n v="100"/>
    <n v="1"/>
    <x v="2106"/>
    <d v="2004-11-24T00:00:00"/>
    <s v="Shipped"/>
    <n v="4"/>
    <n v="11"/>
    <x v="1"/>
    <x v="1"/>
    <n v="80"/>
    <s v="S24_4620"/>
    <s v="Reims Collectables"/>
    <s v="26.47.1555"/>
    <s v="59 rue de l'Abbaye"/>
    <m/>
    <s v="Reims"/>
    <m/>
    <n v="51100"/>
    <x v="1"/>
    <s v="EMEA"/>
    <s v="Henriot"/>
    <s v="Paul"/>
    <s v="Medium"/>
  </r>
  <r>
    <n v="10355"/>
    <n v="28"/>
    <n v="95.39"/>
    <n v="9"/>
    <x v="2107"/>
    <d v="2004-12-07T00:00:00"/>
    <s v="Shipped"/>
    <n v="4"/>
    <n v="12"/>
    <x v="1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s v="Small"/>
  </r>
  <r>
    <n v="10363"/>
    <n v="43"/>
    <n v="100"/>
    <n v="9"/>
    <x v="2108"/>
    <d v="2005-01-06T00:00:00"/>
    <s v="Shipped"/>
    <n v="1"/>
    <n v="1"/>
    <x v="2"/>
    <x v="1"/>
    <n v="80"/>
    <s v="S24_4620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8"/>
    <n v="41"/>
    <n v="100"/>
    <n v="2"/>
    <x v="2109"/>
    <d v="2005-02-10T00:00:00"/>
    <s v="Shipped"/>
    <n v="1"/>
    <n v="2"/>
    <x v="2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30"/>
    <n v="82.42"/>
    <n v="10"/>
    <x v="2110"/>
    <d v="2005-03-04T00:00:00"/>
    <s v="Shipped"/>
    <n v="1"/>
    <n v="3"/>
    <x v="2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03"/>
    <n v="31"/>
    <n v="100"/>
    <n v="3"/>
    <x v="2111"/>
    <d v="2003-01-29T00:00:00"/>
    <s v="Shipped"/>
    <n v="1"/>
    <n v="1"/>
    <x v="0"/>
    <x v="2"/>
    <n v="96"/>
    <s v="S32_1268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32"/>
    <n v="100"/>
    <n v="7"/>
    <x v="2112"/>
    <d v="2003-04-01T00:00:00"/>
    <s v="Shipped"/>
    <n v="2"/>
    <n v="4"/>
    <x v="0"/>
    <x v="2"/>
    <n v="96"/>
    <s v="S32_1268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3"/>
    <n v="96.31"/>
    <n v="3"/>
    <x v="2113"/>
    <d v="2003-05-28T00:00:00"/>
    <s v="Shipped"/>
    <n v="2"/>
    <n v="5"/>
    <x v="0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26"/>
    <n v="100"/>
    <n v="3"/>
    <x v="2114"/>
    <d v="2003-07-24T00:00:00"/>
    <s v="Shipped"/>
    <n v="3"/>
    <n v="7"/>
    <x v="0"/>
    <x v="2"/>
    <n v="96"/>
    <s v="S32_1268"/>
    <s v="Technics Stores Inc."/>
    <n v="6505556809"/>
    <s v="9408 Furth Circle"/>
    <m/>
    <s v="Burlingame"/>
    <s v="CA"/>
    <n v="94217"/>
    <x v="0"/>
    <s v="NA"/>
    <s v="Hirano"/>
    <s v="Juri"/>
    <s v="Small"/>
  </r>
  <r>
    <n v="10151"/>
    <n v="27"/>
    <n v="100"/>
    <n v="10"/>
    <x v="2115"/>
    <d v="2003-09-21T00:00:00"/>
    <s v="Shipped"/>
    <n v="3"/>
    <n v="9"/>
    <x v="0"/>
    <x v="2"/>
    <n v="96"/>
    <s v="S32_1268"/>
    <s v="Oulu Toy Supplies, Inc."/>
    <s v="981-443655"/>
    <s v="Torikatu 38"/>
    <m/>
    <s v="Oulu"/>
    <m/>
    <n v="90110"/>
    <x v="4"/>
    <s v="EMEA"/>
    <s v="Koskitalo"/>
    <s v="Pirkko"/>
    <s v="Medium"/>
  </r>
  <r>
    <n v="10164"/>
    <n v="24"/>
    <n v="100"/>
    <n v="1"/>
    <x v="2116"/>
    <d v="2003-10-21T00:00:00"/>
    <s v="Resolved"/>
    <n v="4"/>
    <n v="10"/>
    <x v="0"/>
    <x v="2"/>
    <n v="96"/>
    <s v="S32_1268"/>
    <s v="Mini Auto Werke"/>
    <s v="7675-3555"/>
    <s v="Kirchgasse 6"/>
    <m/>
    <s v="Graz"/>
    <m/>
    <n v="8010"/>
    <x v="5"/>
    <s v="EMEA"/>
    <s v="Mendel"/>
    <s v="Roland"/>
    <s v="Small"/>
  </r>
  <r>
    <n v="10175"/>
    <n v="22"/>
    <n v="100"/>
    <n v="8"/>
    <x v="2117"/>
    <d v="2003-11-06T00:00:00"/>
    <s v="Shipped"/>
    <n v="4"/>
    <n v="11"/>
    <x v="0"/>
    <x v="2"/>
    <n v="96"/>
    <s v="S32_1268"/>
    <s v="Stylish Desk Decors, Co."/>
    <s v="(171) 555-0297"/>
    <s v="35 King George"/>
    <m/>
    <s v="London"/>
    <m/>
    <s v="WX3 6FW"/>
    <x v="6"/>
    <s v="EMEA"/>
    <s v="Brown"/>
    <s v="Ann"/>
    <s v="Small"/>
  </r>
  <r>
    <n v="10184"/>
    <n v="46"/>
    <n v="100"/>
    <n v="13"/>
    <x v="2118"/>
    <d v="2003-11-14T00:00:00"/>
    <s v="Shipped"/>
    <n v="4"/>
    <n v="11"/>
    <x v="0"/>
    <x v="2"/>
    <n v="96"/>
    <s v="S32_1268"/>
    <s v="Iberia Gift Imports, Corp."/>
    <s v="(95) 555 82 82"/>
    <s v="C/ Romero, 33"/>
    <m/>
    <s v="Sevilla"/>
    <m/>
    <n v="41101"/>
    <x v="7"/>
    <s v="EMEA"/>
    <s v="Roel"/>
    <s v="Jose Pedro"/>
    <s v="Medium"/>
  </r>
  <r>
    <n v="10194"/>
    <n v="37"/>
    <n v="97.27"/>
    <n v="3"/>
    <x v="2119"/>
    <d v="2003-11-25T00:00:00"/>
    <s v="Shipped"/>
    <n v="4"/>
    <n v="11"/>
    <x v="0"/>
    <x v="2"/>
    <n v="96"/>
    <s v="S32_1268"/>
    <s v="Saveley &amp; Henriot, Co."/>
    <s v="78.32.5555"/>
    <s v="2, rue du Commerce"/>
    <m/>
    <s v="Lyon"/>
    <m/>
    <n v="69004"/>
    <x v="1"/>
    <s v="EMEA"/>
    <s v="Saveley"/>
    <s v="Mary"/>
    <s v="Medium"/>
  </r>
  <r>
    <n v="10207"/>
    <n v="49"/>
    <n v="80.900000000000006"/>
    <n v="14"/>
    <x v="2120"/>
    <d v="2003-12-09T00:00:00"/>
    <s v="Shipped"/>
    <n v="4"/>
    <n v="12"/>
    <x v="0"/>
    <x v="2"/>
    <n v="96"/>
    <s v="S32_1268"/>
    <s v="Diecast Collectables"/>
    <n v="6175552555"/>
    <s v="6251 Ingle Ln."/>
    <m/>
    <s v="Boston"/>
    <s v="MA"/>
    <n v="51003"/>
    <x v="0"/>
    <s v="NA"/>
    <s v="Franco"/>
    <s v="Valarie"/>
    <s v="Medium"/>
  </r>
  <r>
    <n v="10217"/>
    <n v="21"/>
    <n v="100"/>
    <n v="3"/>
    <x v="2121"/>
    <d v="2004-02-04T00:00:00"/>
    <s v="Shipped"/>
    <n v="1"/>
    <n v="2"/>
    <x v="1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25"/>
    <n v="100"/>
    <n v="8"/>
    <x v="2122"/>
    <d v="2004-03-11T00:00:00"/>
    <s v="Shipped"/>
    <n v="1"/>
    <n v="3"/>
    <x v="1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37"/>
    <n v="100"/>
    <n v="1"/>
    <x v="2123"/>
    <d v="2004-05-04T00:00:00"/>
    <s v="Shipped"/>
    <n v="2"/>
    <n v="5"/>
    <x v="1"/>
    <x v="2"/>
    <n v="96"/>
    <s v="S32_126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9"/>
    <n v="45"/>
    <n v="86.68"/>
    <n v="11"/>
    <x v="2124"/>
    <d v="2004-06-15T00:00:00"/>
    <s v="Shipped"/>
    <n v="2"/>
    <n v="6"/>
    <x v="1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0"/>
    <n v="32"/>
    <n v="85.72"/>
    <n v="1"/>
    <x v="2125"/>
    <d v="2004-07-19T00:00:00"/>
    <s v="Shipped"/>
    <n v="3"/>
    <n v="7"/>
    <x v="1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29"/>
    <n v="82.83"/>
    <n v="8"/>
    <x v="2126"/>
    <d v="2004-08-19T00:00:00"/>
    <s v="Shipped"/>
    <n v="3"/>
    <n v="8"/>
    <x v="1"/>
    <x v="2"/>
    <n v="96"/>
    <s v="S32_1268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6"/>
    <n v="83.79"/>
    <n v="3"/>
    <x v="2127"/>
    <d v="2004-09-08T00:00:00"/>
    <s v="Shipped"/>
    <n v="3"/>
    <n v="9"/>
    <x v="1"/>
    <x v="2"/>
    <n v="96"/>
    <s v="S32_1268"/>
    <s v="Scandinavian Gift Ideas"/>
    <s v="0695-34 6555"/>
    <s v="?kergatan 24"/>
    <m/>
    <s v="Boras"/>
    <m/>
    <s v="S-844 67"/>
    <x v="8"/>
    <s v="EMEA"/>
    <s v="Larsson"/>
    <s v="Maria"/>
    <s v="Small"/>
  </r>
  <r>
    <n v="10305"/>
    <n v="28"/>
    <n v="100"/>
    <n v="12"/>
    <x v="2128"/>
    <d v="2004-10-13T00:00:00"/>
    <s v="Shipped"/>
    <n v="4"/>
    <n v="10"/>
    <x v="1"/>
    <x v="2"/>
    <n v="96"/>
    <s v="S32_1268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3"/>
    <n v="27"/>
    <n v="87.64"/>
    <n v="6"/>
    <x v="2129"/>
    <d v="2004-10-22T00:00:00"/>
    <s v="Shipped"/>
    <n v="4"/>
    <n v="10"/>
    <x v="1"/>
    <x v="2"/>
    <n v="96"/>
    <s v="S32_1268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20"/>
    <n v="98.18"/>
    <n v="11"/>
    <x v="2130"/>
    <d v="2004-11-05T00:00:00"/>
    <s v="Shipped"/>
    <n v="4"/>
    <n v="11"/>
    <x v="1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s v="Small"/>
  </r>
  <r>
    <n v="10335"/>
    <n v="44"/>
    <n v="100"/>
    <n v="1"/>
    <x v="2131"/>
    <d v="2004-11-19T00:00:00"/>
    <s v="Shipped"/>
    <n v="4"/>
    <n v="11"/>
    <x v="1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48"/>
    <n v="42"/>
    <n v="100"/>
    <n v="3"/>
    <x v="2132"/>
    <d v="2004-11-01T00:00:00"/>
    <s v="Shipped"/>
    <n v="4"/>
    <n v="11"/>
    <x v="1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41"/>
    <n v="100"/>
    <n v="1"/>
    <x v="152"/>
    <d v="2004-12-10T00:00:00"/>
    <s v="Shipped"/>
    <n v="4"/>
    <n v="12"/>
    <x v="1"/>
    <x v="2"/>
    <n v="96"/>
    <s v="S32_1268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26"/>
    <n v="100"/>
    <n v="1"/>
    <x v="2133"/>
    <d v="2005-01-23T00:00:00"/>
    <s v="Shipped"/>
    <n v="1"/>
    <n v="1"/>
    <x v="2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26"/>
    <n v="100"/>
    <n v="6"/>
    <x v="2134"/>
    <d v="2005-02-17T00:00:00"/>
    <s v="Shipped"/>
    <n v="1"/>
    <n v="2"/>
    <x v="2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1"/>
    <n v="26"/>
    <n v="100"/>
    <n v="1"/>
    <x v="2135"/>
    <d v="2005-05-01T00:00:00"/>
    <s v="Shipped"/>
    <n v="2"/>
    <n v="5"/>
    <x v="2"/>
    <x v="2"/>
    <n v="96"/>
    <s v="S32_126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5"/>
    <n v="41"/>
    <n v="86.68"/>
    <n v="11"/>
    <x v="2136"/>
    <d v="2005-05-31T00:00:00"/>
    <s v="In Process"/>
    <n v="2"/>
    <n v="5"/>
    <x v="2"/>
    <x v="2"/>
    <n v="96"/>
    <s v="S32_1268"/>
    <s v="La Rochelle Gifts"/>
    <s v="40.67.8555"/>
    <s v="67, rue des Cinquante Otages"/>
    <m/>
    <s v="Nantes"/>
    <m/>
    <n v="44000"/>
    <x v="1"/>
    <s v="EMEA"/>
    <s v="Labrune"/>
    <s v="Janine"/>
    <s v="Medium"/>
  </r>
  <r>
    <n v="10107"/>
    <n v="20"/>
    <n v="92.9"/>
    <n v="8"/>
    <x v="2137"/>
    <d v="2003-02-24T00:00:00"/>
    <s v="Shipped"/>
    <n v="1"/>
    <n v="2"/>
    <x v="0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s v="Small"/>
  </r>
  <r>
    <n v="10120"/>
    <n v="22"/>
    <n v="100"/>
    <n v="6"/>
    <x v="2138"/>
    <d v="2003-04-29T00:00:00"/>
    <s v="Shipped"/>
    <n v="2"/>
    <n v="4"/>
    <x v="0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3"/>
    <n v="100"/>
    <n v="1"/>
    <x v="2139"/>
    <d v="2003-06-27T00:00:00"/>
    <s v="Shipped"/>
    <n v="2"/>
    <n v="6"/>
    <x v="0"/>
    <x v="0"/>
    <n v="99"/>
    <s v="S32_1374"/>
    <s v="Euro Shopping Channel"/>
    <s v="(91) 555 94 44"/>
    <s v="C/ Moralzarzal, 86"/>
    <m/>
    <s v="Madrid"/>
    <m/>
    <n v="28034"/>
    <x v="7"/>
    <s v="EMEA"/>
    <s v="Freyre"/>
    <s v="Diego"/>
    <s v="Small"/>
  </r>
  <r>
    <n v="10145"/>
    <n v="33"/>
    <n v="93.9"/>
    <n v="12"/>
    <x v="2106"/>
    <d v="2003-08-25T00:00:00"/>
    <s v="Shipped"/>
    <n v="3"/>
    <n v="8"/>
    <x v="0"/>
    <x v="0"/>
    <n v="99"/>
    <s v="S32_1374"/>
    <s v="Toys4GrownUps.com"/>
    <n v="6265557265"/>
    <s v="78934 Hillside Dr."/>
    <m/>
    <s v="Pasadena"/>
    <s v="CA"/>
    <n v="90003"/>
    <x v="0"/>
    <s v="NA"/>
    <s v="Young"/>
    <s v="Julie"/>
    <s v="Medium"/>
  </r>
  <r>
    <n v="10168"/>
    <n v="28"/>
    <n v="100"/>
    <n v="7"/>
    <x v="2140"/>
    <d v="2003-10-28T00:00:00"/>
    <s v="Shipped"/>
    <n v="4"/>
    <n v="10"/>
    <x v="0"/>
    <x v="0"/>
    <n v="99"/>
    <s v="S32_1374"/>
    <s v="Technics Stores Inc."/>
    <n v="6505556809"/>
    <s v="9408 Furth Circle"/>
    <m/>
    <s v="Burlingame"/>
    <s v="CA"/>
    <n v="94217"/>
    <x v="0"/>
    <s v="NA"/>
    <s v="Hirano"/>
    <s v="Juri"/>
    <s v="Medium"/>
  </r>
  <r>
    <n v="10188"/>
    <n v="44"/>
    <n v="98.89"/>
    <n v="7"/>
    <x v="2141"/>
    <d v="2003-11-18T00:00:00"/>
    <s v="Shipped"/>
    <n v="4"/>
    <n v="11"/>
    <x v="0"/>
    <x v="0"/>
    <n v="99"/>
    <s v="S32_1374"/>
    <s v="Herkku Gifts"/>
    <s v="+47 2267 3215"/>
    <s v="Drammen 121, PR 744 Sentrum"/>
    <m/>
    <s v="Bergen"/>
    <m/>
    <s v="N 5804"/>
    <x v="2"/>
    <s v="EMEA"/>
    <s v="Oeztan"/>
    <s v="Veysel"/>
    <s v="Medium"/>
  </r>
  <r>
    <n v="10210"/>
    <n v="46"/>
    <n v="79.91"/>
    <n v="5"/>
    <x v="2142"/>
    <d v="2004-01-12T00:00:00"/>
    <s v="Shipped"/>
    <n v="1"/>
    <n v="1"/>
    <x v="1"/>
    <x v="0"/>
    <n v="99"/>
    <s v="S32_1374"/>
    <s v="Osaka Souveniers Co."/>
    <s v="+81 06 6342 5555"/>
    <s v="Dojima Avanza 4F, 1-6-20 Dojima, Kita-ku"/>
    <m/>
    <s v="Osaka"/>
    <s v="Osaka"/>
    <s v="530-0003"/>
    <x v="11"/>
    <s v="Japan"/>
    <s v="Kentary"/>
    <s v="Mory"/>
    <s v="Medium"/>
  </r>
  <r>
    <n v="10223"/>
    <n v="21"/>
    <n v="100"/>
    <n v="7"/>
    <x v="2143"/>
    <d v="2004-02-20T00:00:00"/>
    <s v="Shipped"/>
    <n v="1"/>
    <n v="2"/>
    <x v="1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100"/>
    <n v="1"/>
    <x v="2144"/>
    <d v="2004-04-02T00:00:00"/>
    <s v="Shipped"/>
    <n v="2"/>
    <n v="4"/>
    <x v="1"/>
    <x v="0"/>
    <n v="99"/>
    <s v="S32_1374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1"/>
    <n v="100"/>
    <n v="2"/>
    <x v="2145"/>
    <d v="2004-05-11T00:00:00"/>
    <s v="Shipped"/>
    <n v="2"/>
    <n v="5"/>
    <x v="1"/>
    <x v="0"/>
    <n v="99"/>
    <s v="S32_1374"/>
    <s v="The Sharp Gifts Warehouse"/>
    <n v="4085553659"/>
    <s v="3086 Ingle Ln."/>
    <m/>
    <s v="San Jose"/>
    <s v="CA"/>
    <n v="94217"/>
    <x v="0"/>
    <s v="NA"/>
    <s v="Frick"/>
    <s v="Sue"/>
    <s v="Medium"/>
  </r>
  <r>
    <n v="10263"/>
    <n v="31"/>
    <n v="79.91"/>
    <n v="8"/>
    <x v="2146"/>
    <d v="2004-06-28T00:00:00"/>
    <s v="Shipped"/>
    <n v="2"/>
    <n v="6"/>
    <x v="1"/>
    <x v="0"/>
    <n v="99"/>
    <s v="S32_1374"/>
    <s v="Gift Depot Inc."/>
    <n v="2035552570"/>
    <s v="25593 South Bay Ln."/>
    <m/>
    <s v="Bridgewater"/>
    <s v="CT"/>
    <n v="97562"/>
    <x v="0"/>
    <s v="NA"/>
    <s v="King"/>
    <s v="Julie"/>
    <s v="Small"/>
  </r>
  <r>
    <n v="10275"/>
    <n v="23"/>
    <n v="81.91"/>
    <n v="7"/>
    <x v="2147"/>
    <d v="2004-07-23T00:00:00"/>
    <s v="Shipped"/>
    <n v="3"/>
    <n v="7"/>
    <x v="1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s v="Small"/>
  </r>
  <r>
    <n v="10285"/>
    <n v="37"/>
    <n v="98.89"/>
    <n v="12"/>
    <x v="2148"/>
    <d v="2004-08-27T00:00:00"/>
    <s v="Shipped"/>
    <n v="3"/>
    <n v="8"/>
    <x v="1"/>
    <x v="0"/>
    <n v="99"/>
    <s v="S32_137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7"/>
    <n v="26"/>
    <n v="100"/>
    <n v="2"/>
    <x v="2149"/>
    <d v="2004-09-16T00:00:00"/>
    <s v="Shipped"/>
    <n v="3"/>
    <n v="9"/>
    <x v="1"/>
    <x v="0"/>
    <n v="99"/>
    <s v="S32_137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24"/>
    <n v="79.91"/>
    <n v="5"/>
    <x v="2150"/>
    <d v="2004-10-15T00:00:00"/>
    <s v="Shipped"/>
    <n v="4"/>
    <n v="10"/>
    <x v="1"/>
    <x v="0"/>
    <n v="99"/>
    <s v="S32_1374"/>
    <s v="Mini Classics"/>
    <n v="9145554562"/>
    <s v="3758 North Pendale Street"/>
    <m/>
    <s v="White Plains"/>
    <s v="NY"/>
    <n v="24067"/>
    <x v="0"/>
    <s v="NA"/>
    <s v="Frick"/>
    <s v="Steve"/>
    <s v="Small"/>
  </r>
  <r>
    <n v="10318"/>
    <n v="47"/>
    <n v="100"/>
    <n v="7"/>
    <x v="2151"/>
    <d v="2004-11-02T00:00:00"/>
    <s v="Shipped"/>
    <n v="4"/>
    <n v="11"/>
    <x v="1"/>
    <x v="0"/>
    <n v="99"/>
    <s v="S32_1374"/>
    <s v="Diecast Classics Inc."/>
    <n v="2155551555"/>
    <s v="7586 Pompton St."/>
    <m/>
    <s v="Allentown"/>
    <s v="PA"/>
    <n v="70267"/>
    <x v="0"/>
    <s v="NA"/>
    <s v="Yu"/>
    <s v="Kyung"/>
    <s v="Medium"/>
  </r>
  <r>
    <n v="10329"/>
    <n v="45"/>
    <n v="63.91"/>
    <n v="11"/>
    <x v="2152"/>
    <d v="2004-11-15T00:00:00"/>
    <s v="Shipped"/>
    <n v="4"/>
    <n v="11"/>
    <x v="1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s v="Small"/>
  </r>
  <r>
    <n v="10340"/>
    <n v="55"/>
    <n v="100"/>
    <n v="2"/>
    <x v="2153"/>
    <d v="2004-11-24T00:00:00"/>
    <s v="Shipped"/>
    <n v="4"/>
    <n v="11"/>
    <x v="1"/>
    <x v="0"/>
    <n v="99"/>
    <s v="S32_137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46"/>
    <n v="81.17"/>
    <n v="5"/>
    <x v="2154"/>
    <d v="2004-12-04T00:00:00"/>
    <s v="Shipped"/>
    <n v="4"/>
    <n v="12"/>
    <x v="1"/>
    <x v="0"/>
    <n v="99"/>
    <s v="S32_1374"/>
    <s v="Gift Ideas Corp."/>
    <n v="2035554407"/>
    <s v="2440 Pompton St."/>
    <m/>
    <s v="Glendale"/>
    <s v="CT"/>
    <n v="97561"/>
    <x v="0"/>
    <s v="NA"/>
    <s v="Lewis"/>
    <s v="Dan"/>
    <s v="Medium"/>
  </r>
  <r>
    <n v="10363"/>
    <n v="50"/>
    <n v="100"/>
    <n v="2"/>
    <x v="2155"/>
    <d v="2005-01-06T00:00:00"/>
    <s v="Shipped"/>
    <n v="1"/>
    <n v="1"/>
    <x v="2"/>
    <x v="0"/>
    <n v="99"/>
    <s v="S32_1374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375"/>
    <n v="37"/>
    <n v="100"/>
    <n v="3"/>
    <x v="2156"/>
    <d v="2005-02-03T00:00:00"/>
    <s v="Shipped"/>
    <n v="1"/>
    <n v="2"/>
    <x v="2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s v="Medium"/>
  </r>
  <r>
    <n v="10387"/>
    <n v="44"/>
    <n v="94.9"/>
    <n v="1"/>
    <x v="2157"/>
    <d v="2005-03-02T00:00:00"/>
    <s v="Shipped"/>
    <n v="1"/>
    <n v="3"/>
    <x v="2"/>
    <x v="0"/>
    <n v="99"/>
    <s v="S32_1374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401"/>
    <n v="49"/>
    <n v="100"/>
    <n v="1"/>
    <x v="2158"/>
    <d v="2005-04-03T00:00:00"/>
    <s v="On Hold"/>
    <n v="2"/>
    <n v="4"/>
    <x v="2"/>
    <x v="0"/>
    <n v="99"/>
    <s v="S32_1374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45"/>
    <n v="100"/>
    <n v="2"/>
    <x v="2159"/>
    <d v="2005-05-10T00:00:00"/>
    <s v="Shipped"/>
    <n v="2"/>
    <n v="5"/>
    <x v="2"/>
    <x v="0"/>
    <n v="99"/>
    <s v="S32_137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8"/>
    <n v="27"/>
    <n v="43.45"/>
    <n v="13"/>
    <x v="2160"/>
    <d v="2003-03-03T00:00:00"/>
    <s v="Shipped"/>
    <n v="1"/>
    <n v="3"/>
    <x v="0"/>
    <x v="0"/>
    <n v="40"/>
    <s v="S32_2206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2"/>
    <n v="31"/>
    <n v="44.66"/>
    <n v="17"/>
    <x v="2161"/>
    <d v="2003-05-08T00:00:00"/>
    <s v="Shipped"/>
    <n v="2"/>
    <n v="5"/>
    <x v="0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s v="Small"/>
  </r>
  <r>
    <n v="10135"/>
    <n v="33"/>
    <n v="40.229999999999997"/>
    <n v="14"/>
    <x v="2162"/>
    <d v="2003-07-02T00:00:00"/>
    <s v="Shipped"/>
    <n v="3"/>
    <n v="7"/>
    <x v="0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31"/>
    <n v="35.799999999999997"/>
    <n v="1"/>
    <x v="2163"/>
    <d v="2003-08-25T00:00:00"/>
    <s v="Shipped"/>
    <n v="3"/>
    <n v="8"/>
    <x v="0"/>
    <x v="0"/>
    <n v="40"/>
    <s v="S32_2206"/>
    <s v="Toys4GrownUps.com"/>
    <n v="6265557265"/>
    <s v="78934 Hillside Dr."/>
    <m/>
    <s v="Pasadena"/>
    <s v="CA"/>
    <n v="90003"/>
    <x v="0"/>
    <s v="NA"/>
    <s v="Young"/>
    <s v="Julie"/>
    <s v="Small"/>
  </r>
  <r>
    <n v="10159"/>
    <n v="35"/>
    <n v="35.4"/>
    <n v="9"/>
    <x v="2164"/>
    <d v="2003-10-10T00:00:00"/>
    <s v="Shipped"/>
    <n v="4"/>
    <n v="10"/>
    <x v="0"/>
    <x v="0"/>
    <n v="40"/>
    <s v="S32_2206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26"/>
    <n v="39.83"/>
    <n v="9"/>
    <x v="2165"/>
    <d v="2003-11-04T00:00:00"/>
    <s v="Shipped"/>
    <n v="4"/>
    <n v="11"/>
    <x v="0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s v="Small"/>
  </r>
  <r>
    <n v="10180"/>
    <n v="34"/>
    <n v="45.46"/>
    <n v="4"/>
    <x v="2166"/>
    <d v="2003-11-11T00:00:00"/>
    <s v="Shipped"/>
    <n v="4"/>
    <n v="11"/>
    <x v="0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6"/>
    <n v="32.99"/>
    <n v="1"/>
    <x v="2167"/>
    <d v="2003-11-19T00:00:00"/>
    <s v="Shipped"/>
    <n v="4"/>
    <n v="11"/>
    <x v="0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1"/>
    <n v="42.24"/>
    <n v="9"/>
    <x v="2168"/>
    <d v="2004-01-15T00:00:00"/>
    <s v="Shipped"/>
    <n v="1"/>
    <n v="1"/>
    <x v="1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s v="Small"/>
  </r>
  <r>
    <n v="10224"/>
    <n v="43"/>
    <n v="39.43"/>
    <n v="2"/>
    <x v="2169"/>
    <d v="2004-02-21T00:00:00"/>
    <s v="Shipped"/>
    <n v="1"/>
    <n v="2"/>
    <x v="1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s v="Small"/>
  </r>
  <r>
    <n v="10237"/>
    <n v="26"/>
    <n v="40.229999999999997"/>
    <n v="2"/>
    <x v="2170"/>
    <d v="2004-04-05T00:00:00"/>
    <s v="Shipped"/>
    <n v="2"/>
    <n v="4"/>
    <x v="1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36"/>
    <n v="48.28"/>
    <n v="6"/>
    <x v="2171"/>
    <d v="2004-05-26T00:00:00"/>
    <s v="Shipped"/>
    <n v="2"/>
    <n v="5"/>
    <x v="1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20"/>
    <n v="32.590000000000003"/>
    <n v="4"/>
    <x v="2172"/>
    <d v="2004-06-30T00:00:00"/>
    <s v="Shipped"/>
    <n v="2"/>
    <n v="6"/>
    <x v="1"/>
    <x v="0"/>
    <n v="40"/>
    <s v="S32_2206"/>
    <s v="Gifts4AllAges.com"/>
    <n v="6175559555"/>
    <s v="8616 Spinnaker Dr."/>
    <m/>
    <s v="Boston"/>
    <s v="MA"/>
    <n v="51003"/>
    <x v="0"/>
    <s v="NA"/>
    <s v="Yoshido"/>
    <s v="Juri"/>
    <s v="Small"/>
  </r>
  <r>
    <n v="10276"/>
    <n v="27"/>
    <n v="36.61"/>
    <n v="10"/>
    <x v="2173"/>
    <d v="2004-08-02T00:00:00"/>
    <s v="Shipped"/>
    <n v="3"/>
    <n v="8"/>
    <x v="1"/>
    <x v="0"/>
    <n v="40"/>
    <s v="S32_2206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5"/>
    <n v="37"/>
    <n v="41.03"/>
    <n v="1"/>
    <x v="2174"/>
    <d v="2004-08-27T00:00:00"/>
    <s v="Shipped"/>
    <n v="3"/>
    <n v="8"/>
    <x v="1"/>
    <x v="0"/>
    <n v="40"/>
    <s v="S32_2206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24"/>
    <n v="42.24"/>
    <n v="4"/>
    <x v="2175"/>
    <d v="2004-09-30T00:00:00"/>
    <s v="Shipped"/>
    <n v="3"/>
    <n v="9"/>
    <x v="1"/>
    <x v="0"/>
    <n v="40"/>
    <s v="S32_2206"/>
    <s v="Toys of Finland, Co."/>
    <s v="90-224 8555"/>
    <s v="Keskuskatu 45"/>
    <m/>
    <s v="Helsinki"/>
    <m/>
    <n v="21240"/>
    <x v="4"/>
    <s v="EMEA"/>
    <s v="Karttunen"/>
    <s v="Matti"/>
    <s v="Small"/>
  </r>
  <r>
    <n v="10310"/>
    <n v="36"/>
    <n v="43.05"/>
    <n v="17"/>
    <x v="2176"/>
    <d v="2004-10-16T00:00:00"/>
    <s v="Shipped"/>
    <n v="4"/>
    <n v="10"/>
    <x v="1"/>
    <x v="0"/>
    <n v="40"/>
    <s v="S32_2206"/>
    <s v="Toms Spezialitten, Ltd"/>
    <s v="0221-5554327"/>
    <s v="Mehrheimerstr. 369"/>
    <m/>
    <s v="Koln"/>
    <m/>
    <n v="50739"/>
    <x v="16"/>
    <s v="EMEA"/>
    <s v="Pfalzheim"/>
    <s v="Henriette"/>
    <s v="Small"/>
  </r>
  <r>
    <n v="10319"/>
    <n v="29"/>
    <n v="38.22"/>
    <n v="5"/>
    <x v="2177"/>
    <d v="2004-11-03T00:00:00"/>
    <s v="Shipped"/>
    <n v="4"/>
    <n v="11"/>
    <x v="1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28"/>
    <n v="100"/>
    <n v="3"/>
    <x v="2178"/>
    <d v="2004-11-17T00:00:00"/>
    <s v="Shipped"/>
    <n v="4"/>
    <n v="11"/>
    <x v="1"/>
    <x v="0"/>
    <n v="40"/>
    <s v="S32_2206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3"/>
    <n v="29"/>
    <n v="100"/>
    <n v="5"/>
    <x v="2179"/>
    <d v="2004-11-24T00:00:00"/>
    <s v="Shipped"/>
    <n v="4"/>
    <n v="11"/>
    <x v="1"/>
    <x v="0"/>
    <n v="40"/>
    <s v="S32_2206"/>
    <s v="Reims Collectables"/>
    <s v="26.47.1555"/>
    <s v="59 rue de l'Abbaye"/>
    <m/>
    <s v="Reims"/>
    <m/>
    <n v="51100"/>
    <x v="1"/>
    <s v="EMEA"/>
    <s v="Henriot"/>
    <s v="Paul"/>
    <s v="Medium"/>
  </r>
  <r>
    <n v="10355"/>
    <n v="38"/>
    <n v="39.83"/>
    <n v="10"/>
    <x v="2180"/>
    <d v="2004-12-07T00:00:00"/>
    <s v="Shipped"/>
    <n v="4"/>
    <n v="12"/>
    <x v="1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s v="Small"/>
  </r>
  <r>
    <n v="10364"/>
    <n v="48"/>
    <n v="48.28"/>
    <n v="1"/>
    <x v="2181"/>
    <d v="2005-01-06T00:00:00"/>
    <s v="Shipped"/>
    <n v="1"/>
    <n v="1"/>
    <x v="2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s v="Small"/>
  </r>
  <r>
    <n v="10378"/>
    <n v="40"/>
    <n v="82.46"/>
    <n v="1"/>
    <x v="2182"/>
    <d v="2005-02-10T00:00:00"/>
    <s v="Shipped"/>
    <n v="1"/>
    <n v="2"/>
    <x v="2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s v="Medium"/>
  </r>
  <r>
    <n v="10390"/>
    <n v="41"/>
    <n v="44.56"/>
    <n v="11"/>
    <x v="2183"/>
    <d v="2005-03-04T00:00:00"/>
    <s v="Shipped"/>
    <n v="1"/>
    <n v="3"/>
    <x v="2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30"/>
    <n v="40.229999999999997"/>
    <n v="2"/>
    <x v="2184"/>
    <d v="2005-04-08T00:00:00"/>
    <s v="Shipped"/>
    <n v="2"/>
    <n v="4"/>
    <x v="2"/>
    <x v="0"/>
    <n v="40"/>
    <s v="S32_2206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4"/>
    <n v="35"/>
    <n v="47.62"/>
    <n v="11"/>
    <x v="2185"/>
    <d v="2003-01-31T00:00:00"/>
    <s v="Shipped"/>
    <n v="1"/>
    <n v="1"/>
    <x v="0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114"/>
    <n v="28"/>
    <n v="55.73"/>
    <n v="2"/>
    <x v="2186"/>
    <d v="2003-04-01T00:00:00"/>
    <s v="Shipped"/>
    <n v="2"/>
    <n v="4"/>
    <x v="0"/>
    <x v="2"/>
    <n v="54"/>
    <s v="S32_2509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127"/>
    <n v="45"/>
    <n v="51.95"/>
    <n v="13"/>
    <x v="2187"/>
    <d v="2003-06-03T00:00:00"/>
    <s v="Shipped"/>
    <n v="2"/>
    <n v="6"/>
    <x v="0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1"/>
    <n v="24"/>
    <n v="45.99"/>
    <n v="7"/>
    <x v="2188"/>
    <d v="2003-08-01T00:00:00"/>
    <s v="Shipped"/>
    <n v="3"/>
    <n v="8"/>
    <x v="0"/>
    <x v="2"/>
    <n v="54"/>
    <s v="S32_2509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151"/>
    <n v="41"/>
    <n v="63.85"/>
    <n v="5"/>
    <x v="2189"/>
    <d v="2003-09-21T00:00:00"/>
    <s v="Shipped"/>
    <n v="3"/>
    <n v="9"/>
    <x v="0"/>
    <x v="2"/>
    <n v="54"/>
    <s v="S32_2509"/>
    <s v="Oulu Toy Supplies, Inc."/>
    <s v="981-443655"/>
    <s v="Torikatu 38"/>
    <m/>
    <s v="Oulu"/>
    <m/>
    <n v="90110"/>
    <x v="4"/>
    <s v="EMEA"/>
    <s v="Koskitalo"/>
    <s v="Pirkko"/>
    <s v="Small"/>
  </r>
  <r>
    <n v="10165"/>
    <n v="48"/>
    <n v="45.99"/>
    <n v="14"/>
    <x v="2190"/>
    <d v="2003-10-22T00:00:00"/>
    <s v="Shipped"/>
    <n v="4"/>
    <n v="10"/>
    <x v="0"/>
    <x v="2"/>
    <n v="54"/>
    <s v="S32_2509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5"/>
    <n v="50"/>
    <n v="63.31"/>
    <n v="3"/>
    <x v="2191"/>
    <d v="2003-11-06T00:00:00"/>
    <s v="Shipped"/>
    <n v="4"/>
    <n v="11"/>
    <x v="0"/>
    <x v="2"/>
    <n v="54"/>
    <s v="S32_2509"/>
    <s v="Stylish Desk Decors, Co."/>
    <s v="(171) 555-0297"/>
    <s v="35 King George"/>
    <m/>
    <s v="London"/>
    <m/>
    <s v="WX3 6FW"/>
    <x v="6"/>
    <s v="EMEA"/>
    <s v="Brown"/>
    <s v="Ann"/>
    <s v="Medium"/>
  </r>
  <r>
    <n v="10184"/>
    <n v="33"/>
    <n v="62.77"/>
    <n v="8"/>
    <x v="2192"/>
    <d v="2003-11-14T00:00:00"/>
    <s v="Shipped"/>
    <n v="4"/>
    <n v="11"/>
    <x v="0"/>
    <x v="2"/>
    <n v="54"/>
    <s v="S32_2509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2"/>
    <n v="43.29"/>
    <n v="8"/>
    <x v="2193"/>
    <d v="2003-11-25T00:00:00"/>
    <s v="Shipped"/>
    <n v="4"/>
    <n v="11"/>
    <x v="0"/>
    <x v="2"/>
    <n v="54"/>
    <s v="S32_2509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27"/>
    <n v="60.06"/>
    <n v="9"/>
    <x v="2194"/>
    <d v="2003-12-09T00:00:00"/>
    <s v="Shipped"/>
    <n v="4"/>
    <n v="12"/>
    <x v="0"/>
    <x v="2"/>
    <n v="54"/>
    <s v="S32_2509"/>
    <s v="Diecast Collectables"/>
    <n v="6175552555"/>
    <s v="6251 Ingle Ln."/>
    <m/>
    <s v="Boston"/>
    <s v="MA"/>
    <n v="51003"/>
    <x v="0"/>
    <s v="NA"/>
    <s v="Franco"/>
    <s v="Valarie"/>
    <s v="Small"/>
  </r>
  <r>
    <n v="10219"/>
    <n v="35"/>
    <n v="55.19"/>
    <n v="4"/>
    <x v="2195"/>
    <d v="2004-02-10T00:00:00"/>
    <s v="Shipped"/>
    <n v="1"/>
    <n v="2"/>
    <x v="1"/>
    <x v="2"/>
    <n v="54"/>
    <s v="S32_2509"/>
    <s v="Signal Collectibles Ltd."/>
    <n v="4155554312"/>
    <s v="2793 Furth Circle"/>
    <m/>
    <s v="Brisbane"/>
    <s v="CA"/>
    <n v="94217"/>
    <x v="0"/>
    <s v="NA"/>
    <s v="Taylor"/>
    <s v="Sue"/>
    <s v="Small"/>
  </r>
  <r>
    <n v="10229"/>
    <n v="23"/>
    <n v="54.11"/>
    <n v="3"/>
    <x v="2196"/>
    <d v="2004-03-11T00:00:00"/>
    <s v="Shipped"/>
    <n v="1"/>
    <n v="3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6"/>
    <n v="35"/>
    <n v="48.7"/>
    <n v="7"/>
    <x v="2197"/>
    <d v="2004-05-05T00:00:00"/>
    <s v="Shipped"/>
    <n v="2"/>
    <n v="5"/>
    <x v="1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40"/>
    <n v="43.83"/>
    <n v="6"/>
    <x v="2198"/>
    <d v="2004-06-15T00:00:00"/>
    <s v="Shipped"/>
    <n v="2"/>
    <n v="6"/>
    <x v="1"/>
    <x v="2"/>
    <n v="54"/>
    <s v="S32_2509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71"/>
    <n v="35"/>
    <n v="47.62"/>
    <n v="7"/>
    <x v="2185"/>
    <d v="2004-07-20T00:00:00"/>
    <s v="Shipped"/>
    <n v="3"/>
    <n v="7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81"/>
    <n v="31"/>
    <n v="55.19"/>
    <n v="3"/>
    <x v="2199"/>
    <d v="2004-08-19T00:00:00"/>
    <s v="Shipped"/>
    <n v="3"/>
    <n v="8"/>
    <x v="1"/>
    <x v="2"/>
    <n v="54"/>
    <s v="S32_2509"/>
    <s v="Diecast Classics Inc."/>
    <n v="2155551555"/>
    <s v="7586 Pompton St."/>
    <m/>
    <s v="Allentown"/>
    <s v="PA"/>
    <n v="70267"/>
    <x v="0"/>
    <s v="NA"/>
    <s v="Yu"/>
    <s v="Kyung"/>
    <s v="Small"/>
  </r>
  <r>
    <n v="10292"/>
    <n v="50"/>
    <n v="46.53"/>
    <n v="10"/>
    <x v="2200"/>
    <d v="2004-09-08T00:00:00"/>
    <s v="Shipped"/>
    <n v="3"/>
    <n v="9"/>
    <x v="1"/>
    <x v="2"/>
    <n v="54"/>
    <s v="S32_2509"/>
    <s v="Land of Toys Inc."/>
    <n v="2125557818"/>
    <s v="897 Long Airport Avenue"/>
    <m/>
    <s v="NYC"/>
    <s v="NY"/>
    <n v="10022"/>
    <x v="0"/>
    <s v="NA"/>
    <s v="Yu"/>
    <s v="Kwai"/>
    <s v="Small"/>
  </r>
  <r>
    <n v="10305"/>
    <n v="40"/>
    <n v="57.9"/>
    <n v="7"/>
    <x v="2201"/>
    <d v="2004-10-13T00:00:00"/>
    <s v="Shipped"/>
    <n v="4"/>
    <n v="10"/>
    <x v="1"/>
    <x v="2"/>
    <n v="54"/>
    <s v="S32_2509"/>
    <s v="Marta's Replicas Co."/>
    <n v="6175558555"/>
    <s v="39323 Spinnaker Dr."/>
    <m/>
    <s v="Cambridge"/>
    <s v="MA"/>
    <n v="51247"/>
    <x v="0"/>
    <s v="NA"/>
    <s v="Hernandez"/>
    <s v="Marta"/>
    <s v="Small"/>
  </r>
  <r>
    <n v="10313"/>
    <n v="38"/>
    <n v="45.45"/>
    <n v="1"/>
    <x v="2202"/>
    <d v="2004-10-22T00:00:00"/>
    <s v="Shipped"/>
    <n v="4"/>
    <n v="10"/>
    <x v="1"/>
    <x v="2"/>
    <n v="54"/>
    <s v="S32_2509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5"/>
    <n v="38"/>
    <n v="100"/>
    <n v="3"/>
    <x v="2203"/>
    <d v="2004-11-05T00:00:00"/>
    <s v="Shipped"/>
    <n v="4"/>
    <n v="11"/>
    <x v="1"/>
    <x v="2"/>
    <n v="54"/>
    <s v="S32_2509"/>
    <s v="Baane Mini Imports"/>
    <s v="07-98 9555"/>
    <s v="Erling Skakkes gate 78"/>
    <m/>
    <s v="Stavern"/>
    <m/>
    <n v="4110"/>
    <x v="2"/>
    <s v="EMEA"/>
    <s v="Bergulfsen"/>
    <s v="Jonas"/>
    <s v="Large"/>
  </r>
  <r>
    <n v="10335"/>
    <n v="40"/>
    <n v="60.6"/>
    <n v="3"/>
    <x v="2204"/>
    <d v="2004-11-19T00:00:00"/>
    <s v="Shipped"/>
    <n v="4"/>
    <n v="11"/>
    <x v="1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49"/>
    <n v="33"/>
    <n v="46.53"/>
    <n v="1"/>
    <x v="2205"/>
    <d v="2004-12-01T00:00:00"/>
    <s v="Shipped"/>
    <n v="4"/>
    <n v="12"/>
    <x v="1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s v="Small"/>
  </r>
  <r>
    <n v="10359"/>
    <n v="36"/>
    <n v="100"/>
    <n v="3"/>
    <x v="2206"/>
    <d v="2004-12-15T00:00:00"/>
    <s v="Shipped"/>
    <n v="4"/>
    <n v="12"/>
    <x v="1"/>
    <x v="2"/>
    <n v="54"/>
    <s v="S32_2509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20"/>
    <n v="66.47"/>
    <n v="2"/>
    <x v="2207"/>
    <d v="2005-01-23T00:00:00"/>
    <s v="Shipped"/>
    <n v="1"/>
    <n v="1"/>
    <x v="2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32"/>
    <n v="53.18"/>
    <n v="5"/>
    <x v="2208"/>
    <d v="2005-02-22T00:00:00"/>
    <s v="Shipped"/>
    <n v="1"/>
    <n v="2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6"/>
    <n v="62.77"/>
    <n v="3"/>
    <x v="2209"/>
    <d v="2005-03-15T00:00:00"/>
    <s v="Shipped"/>
    <n v="1"/>
    <n v="3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412"/>
    <n v="19"/>
    <n v="48.7"/>
    <n v="7"/>
    <x v="2210"/>
    <d v="2005-05-03T00:00:00"/>
    <s v="Shipped"/>
    <n v="2"/>
    <n v="5"/>
    <x v="2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s v="Small"/>
  </r>
  <r>
    <n v="10425"/>
    <n v="11"/>
    <n v="43.83"/>
    <n v="6"/>
    <x v="2211"/>
    <d v="2005-05-31T00:00:00"/>
    <s v="In Process"/>
    <n v="2"/>
    <n v="5"/>
    <x v="2"/>
    <x v="2"/>
    <n v="54"/>
    <s v="S32_2509"/>
    <s v="La Rochelle Gifts"/>
    <s v="40.67.8555"/>
    <s v="67, rue des Cinquante Otages"/>
    <m/>
    <s v="Nantes"/>
    <m/>
    <n v="44000"/>
    <x v="1"/>
    <s v="EMEA"/>
    <s v="Labrune"/>
    <s v="Janine"/>
    <s v="Small"/>
  </r>
  <r>
    <n v="10104"/>
    <n v="49"/>
    <n v="65.87"/>
    <n v="4"/>
    <x v="2212"/>
    <d v="2003-01-31T00:00:00"/>
    <s v="Shipped"/>
    <n v="1"/>
    <n v="1"/>
    <x v="0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Medium"/>
  </r>
  <r>
    <n v="10116"/>
    <n v="27"/>
    <n v="63.38"/>
    <n v="1"/>
    <x v="2213"/>
    <d v="2003-04-11T00:00:00"/>
    <s v="Shipped"/>
    <n v="2"/>
    <n v="4"/>
    <x v="0"/>
    <x v="6"/>
    <n v="62"/>
    <s v="S32_3207"/>
    <s v="Royale Belge"/>
    <s v="(071) 23 67 2555"/>
    <s v="Boulevard Tirou, 255"/>
    <m/>
    <s v="Charleroi"/>
    <m/>
    <s v="B-6000"/>
    <x v="14"/>
    <s v="EMEA"/>
    <s v="Cartrain"/>
    <s v="Pascale"/>
    <s v="Small"/>
  </r>
  <r>
    <n v="10127"/>
    <n v="29"/>
    <n v="70.84"/>
    <n v="6"/>
    <x v="2214"/>
    <d v="2003-06-03T00:00:00"/>
    <s v="Shipped"/>
    <n v="2"/>
    <n v="6"/>
    <x v="0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s v="Small"/>
  </r>
  <r>
    <n v="10142"/>
    <n v="42"/>
    <n v="74.569999999999993"/>
    <n v="16"/>
    <x v="2215"/>
    <d v="2003-08-08T00:00:00"/>
    <s v="Shipped"/>
    <n v="3"/>
    <n v="8"/>
    <x v="0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2"/>
    <n v="33"/>
    <n v="50.95"/>
    <n v="2"/>
    <x v="2216"/>
    <d v="2003-09-25T00:00:00"/>
    <s v="Shipped"/>
    <n v="3"/>
    <n v="9"/>
    <x v="0"/>
    <x v="6"/>
    <n v="62"/>
    <s v="S32_3207"/>
    <s v="Australian Gift Network, Co"/>
    <s v="61-7-3844-6555"/>
    <s v="31 Duncan St. West End"/>
    <m/>
    <s v="South Brisbane"/>
    <s v="Queensland"/>
    <n v="4101"/>
    <x v="3"/>
    <s v="APAC"/>
    <s v="Calaghan"/>
    <s v="Tony"/>
    <s v="Small"/>
  </r>
  <r>
    <n v="10165"/>
    <n v="44"/>
    <n v="53.44"/>
    <n v="7"/>
    <x v="2217"/>
    <d v="2003-10-22T00:00:00"/>
    <s v="Shipped"/>
    <n v="4"/>
    <n v="10"/>
    <x v="0"/>
    <x v="6"/>
    <n v="62"/>
    <s v="S32_3207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22"/>
    <n v="64"/>
    <n v="6"/>
    <x v="2218"/>
    <d v="2003-11-06T00:00:00"/>
    <s v="Shipped"/>
    <n v="4"/>
    <n v="11"/>
    <x v="0"/>
    <x v="6"/>
    <n v="62"/>
    <s v="S32_320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4"/>
    <n v="48"/>
    <n v="50.95"/>
    <n v="1"/>
    <x v="2219"/>
    <d v="2003-11-14T00:00:00"/>
    <s v="Shipped"/>
    <n v="4"/>
    <n v="11"/>
    <x v="0"/>
    <x v="6"/>
    <n v="62"/>
    <s v="S32_3207"/>
    <s v="Iberia Gift Imports, Corp."/>
    <s v="(95) 555 82 82"/>
    <s v="C/ Romero, 33"/>
    <m/>
    <s v="Sevilla"/>
    <m/>
    <n v="41101"/>
    <x v="7"/>
    <s v="EMEA"/>
    <s v="Roel"/>
    <s v="Jose Pedro"/>
    <s v="Small"/>
  </r>
  <r>
    <n v="10195"/>
    <n v="33"/>
    <n v="54.68"/>
    <n v="1"/>
    <x v="2220"/>
    <d v="2003-11-25T00:00:00"/>
    <s v="Shipped"/>
    <n v="4"/>
    <n v="11"/>
    <x v="0"/>
    <x v="6"/>
    <n v="62"/>
    <s v="S32_3207"/>
    <s v="Mini Classics"/>
    <n v="9145554562"/>
    <s v="3758 North Pendale Street"/>
    <m/>
    <s v="White Plains"/>
    <s v="NY"/>
    <n v="24067"/>
    <x v="0"/>
    <s v="NA"/>
    <s v="Frick"/>
    <s v="Steve"/>
    <s v="Small"/>
  </r>
  <r>
    <n v="10207"/>
    <n v="45"/>
    <n v="56.55"/>
    <n v="2"/>
    <x v="2221"/>
    <d v="2003-12-09T00:00:00"/>
    <s v="Shipped"/>
    <n v="4"/>
    <n v="12"/>
    <x v="0"/>
    <x v="6"/>
    <n v="62"/>
    <s v="S32_3207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20"/>
    <n v="52.82"/>
    <n v="6"/>
    <x v="2222"/>
    <d v="2004-02-12T00:00:00"/>
    <s v="Shipped"/>
    <n v="1"/>
    <n v="2"/>
    <x v="1"/>
    <x v="6"/>
    <n v="62"/>
    <s v="S32_3207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46"/>
    <n v="60.9"/>
    <n v="4"/>
    <x v="2223"/>
    <d v="2004-03-15T00:00:00"/>
    <s v="Shipped"/>
    <n v="1"/>
    <n v="3"/>
    <x v="1"/>
    <x v="6"/>
    <n v="62"/>
    <s v="S32_3207"/>
    <s v="Blauer See Auto, Co."/>
    <s v="+49 69 66 90 2555"/>
    <s v="Lyonerstr. 34"/>
    <m/>
    <s v="Frankfurt"/>
    <m/>
    <n v="60528"/>
    <x v="16"/>
    <s v="EMEA"/>
    <s v="Keitel"/>
    <s v="Roland"/>
    <s v="Small"/>
  </r>
  <r>
    <n v="10247"/>
    <n v="40"/>
    <n v="49.71"/>
    <n v="6"/>
    <x v="2224"/>
    <d v="2004-05-05T00:00:00"/>
    <s v="Shipped"/>
    <n v="2"/>
    <n v="5"/>
    <x v="1"/>
    <x v="6"/>
    <n v="62"/>
    <s v="S32_3207"/>
    <s v="Suominen Souveniers"/>
    <s v="+358 9 8045 555"/>
    <s v="Software Engineering Center, SEC Oy"/>
    <m/>
    <s v="Espoo"/>
    <m/>
    <s v="FIN-02271"/>
    <x v="4"/>
    <s v="EMEA"/>
    <s v="Suominen"/>
    <s v="Kalle"/>
    <s v="Small"/>
  </r>
  <r>
    <n v="10272"/>
    <n v="45"/>
    <n v="64.63"/>
    <n v="6"/>
    <x v="2225"/>
    <d v="2004-07-20T00:00:00"/>
    <s v="Shipped"/>
    <n v="3"/>
    <n v="7"/>
    <x v="1"/>
    <x v="6"/>
    <n v="62"/>
    <s v="S32_3207"/>
    <s v="Diecast Classics Inc."/>
    <n v="2155551555"/>
    <s v="7586 Pompton St."/>
    <m/>
    <s v="Allentown"/>
    <s v="PA"/>
    <n v="70267"/>
    <x v="0"/>
    <s v="NA"/>
    <s v="Yu"/>
    <s v="Kyung"/>
    <s v="Small"/>
  </r>
  <r>
    <n v="10282"/>
    <n v="36"/>
    <n v="59.65"/>
    <n v="9"/>
    <x v="2226"/>
    <d v="2004-08-20T00:00:00"/>
    <s v="Shipped"/>
    <n v="3"/>
    <n v="8"/>
    <x v="1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31"/>
    <n v="67.73"/>
    <n v="3"/>
    <x v="2227"/>
    <d v="2004-09-08T00:00:00"/>
    <s v="Shipped"/>
    <n v="3"/>
    <n v="9"/>
    <x v="1"/>
    <x v="6"/>
    <n v="62"/>
    <s v="S32_3207"/>
    <s v="Land of Toys Inc."/>
    <n v="2125557818"/>
    <s v="897 Long Airport Avenue"/>
    <m/>
    <s v="NYC"/>
    <s v="NY"/>
    <n v="10022"/>
    <x v="0"/>
    <s v="NA"/>
    <s v="Yu"/>
    <s v="Kwai"/>
    <s v="Small"/>
  </r>
  <r>
    <n v="10306"/>
    <n v="46"/>
    <n v="50.33"/>
    <n v="17"/>
    <x v="2228"/>
    <d v="2004-10-14T00:00:00"/>
    <s v="Shipped"/>
    <n v="4"/>
    <n v="10"/>
    <x v="1"/>
    <x v="6"/>
    <n v="62"/>
    <s v="S32_3207"/>
    <s v="AV Stores, Co."/>
    <s v="(171) 555-1555"/>
    <s v="Fauntleroy Circus"/>
    <m/>
    <s v="Manchester"/>
    <m/>
    <s v="EC2 5NT"/>
    <x v="6"/>
    <s v="EMEA"/>
    <s v="Ashworth"/>
    <s v="Victoria"/>
    <s v="Small"/>
  </r>
  <r>
    <n v="10314"/>
    <n v="35"/>
    <n v="66.489999999999995"/>
    <n v="9"/>
    <x v="2229"/>
    <d v="2004-10-22T00:00:00"/>
    <s v="Shipped"/>
    <n v="4"/>
    <n v="10"/>
    <x v="1"/>
    <x v="6"/>
    <n v="62"/>
    <s v="S32_3207"/>
    <s v="Heintze Collectables"/>
    <s v="86 21 3555"/>
    <s v="Smagsloget 45"/>
    <m/>
    <s v="Aaarhus"/>
    <m/>
    <n v="8200"/>
    <x v="13"/>
    <s v="EMEA"/>
    <s v="Ibsen"/>
    <s v="Palle"/>
    <s v="Small"/>
  </r>
  <r>
    <n v="10325"/>
    <n v="28"/>
    <n v="100"/>
    <n v="2"/>
    <x v="2230"/>
    <d v="2004-11-05T00:00:00"/>
    <s v="Shipped"/>
    <n v="4"/>
    <n v="11"/>
    <x v="1"/>
    <x v="6"/>
    <n v="62"/>
    <s v="S32_3207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31"/>
    <n v="84.71"/>
    <n v="9"/>
    <x v="2231"/>
    <d v="2004-11-20T00:00:00"/>
    <s v="Shipped"/>
    <n v="4"/>
    <n v="11"/>
    <x v="1"/>
    <x v="6"/>
    <n v="62"/>
    <s v="S32_3207"/>
    <s v="La Corne D'abondance, Co."/>
    <s v="(1) 42.34.2555"/>
    <s v="265, boulevard Charonne"/>
    <m/>
    <s v="Paris"/>
    <m/>
    <n v="75012"/>
    <x v="1"/>
    <s v="EMEA"/>
    <s v="Bertrand"/>
    <s v="Marie"/>
    <s v="Small"/>
  </r>
  <r>
    <n v="10350"/>
    <n v="27"/>
    <n v="100"/>
    <n v="14"/>
    <x v="2232"/>
    <d v="2004-12-02T00:00:00"/>
    <s v="Shipped"/>
    <n v="4"/>
    <n v="12"/>
    <x v="1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Medium"/>
  </r>
  <r>
    <n v="10359"/>
    <n v="22"/>
    <n v="100"/>
    <n v="1"/>
    <x v="2233"/>
    <d v="2004-12-15T00:00:00"/>
    <s v="Shipped"/>
    <n v="4"/>
    <n v="12"/>
    <x v="1"/>
    <x v="6"/>
    <n v="62"/>
    <s v="S32_3207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30"/>
    <n v="99.55"/>
    <n v="11"/>
    <x v="2234"/>
    <d v="2005-01-23T00:00:00"/>
    <s v="Shipped"/>
    <n v="1"/>
    <n v="1"/>
    <x v="2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44"/>
    <n v="36.07"/>
    <n v="8"/>
    <x v="2235"/>
    <d v="2005-02-22T00:00:00"/>
    <s v="Shipped"/>
    <n v="1"/>
    <n v="2"/>
    <x v="2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Small"/>
  </r>
  <r>
    <n v="10394"/>
    <n v="30"/>
    <n v="60.28"/>
    <n v="4"/>
    <x v="2072"/>
    <d v="2005-03-15T00:00:00"/>
    <s v="Shipped"/>
    <n v="1"/>
    <n v="3"/>
    <x v="2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s v="Small"/>
  </r>
  <r>
    <n v="10413"/>
    <n v="24"/>
    <n v="49.71"/>
    <n v="6"/>
    <x v="2236"/>
    <d v="2005-05-05T00:00:00"/>
    <s v="Shipped"/>
    <n v="2"/>
    <n v="5"/>
    <x v="2"/>
    <x v="6"/>
    <n v="62"/>
    <s v="S32_3207"/>
    <s v="Gift Depot Inc."/>
    <n v="2035552570"/>
    <s v="25593 South Bay Ln."/>
    <m/>
    <s v="Bridgewater"/>
    <s v="CT"/>
    <n v="97562"/>
    <x v="0"/>
    <s v="NA"/>
    <s v="King"/>
    <s v="Julie"/>
    <s v="Small"/>
  </r>
  <r>
    <n v="10103"/>
    <n v="45"/>
    <n v="75.63"/>
    <n v="7"/>
    <x v="2237"/>
    <d v="2003-01-29T00:00:00"/>
    <s v="Shipped"/>
    <n v="1"/>
    <n v="1"/>
    <x v="0"/>
    <x v="2"/>
    <n v="64"/>
    <s v="S32_3522"/>
    <s v="Baane Mini Imports"/>
    <s v="07-98 9555"/>
    <s v="Erling Skakkes gate 78"/>
    <m/>
    <s v="Stavern"/>
    <m/>
    <n v="4110"/>
    <x v="2"/>
    <s v="EMEA"/>
    <s v="Bergulfsen"/>
    <s v="Jonas"/>
    <s v="Medium"/>
  </r>
  <r>
    <n v="10113"/>
    <n v="23"/>
    <n v="68.52"/>
    <n v="1"/>
    <x v="2238"/>
    <d v="2003-03-26T00:00:00"/>
    <s v="Shipped"/>
    <n v="1"/>
    <n v="3"/>
    <x v="0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26"/>
    <n v="26"/>
    <n v="62.7"/>
    <n v="7"/>
    <x v="2239"/>
    <d v="2003-05-28T00:00:00"/>
    <s v="Shipped"/>
    <n v="2"/>
    <n v="5"/>
    <x v="0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s v="Small"/>
  </r>
  <r>
    <n v="10140"/>
    <n v="28"/>
    <n v="60.76"/>
    <n v="7"/>
    <x v="2240"/>
    <d v="2003-07-24T00:00:00"/>
    <s v="Shipped"/>
    <n v="3"/>
    <n v="7"/>
    <x v="0"/>
    <x v="2"/>
    <n v="64"/>
    <s v="S32_3522"/>
    <s v="Technics Stores Inc."/>
    <n v="6505556809"/>
    <s v="9408 Furth Circle"/>
    <m/>
    <s v="Burlingame"/>
    <s v="CA"/>
    <n v="94217"/>
    <x v="0"/>
    <s v="NA"/>
    <s v="Hirano"/>
    <s v="Juri"/>
    <s v="Small"/>
  </r>
  <r>
    <n v="10150"/>
    <n v="49"/>
    <n v="58.18"/>
    <n v="4"/>
    <x v="2241"/>
    <d v="2003-09-19T00:00:00"/>
    <s v="Shipped"/>
    <n v="3"/>
    <n v="9"/>
    <x v="0"/>
    <x v="2"/>
    <n v="64"/>
    <s v="S32_352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49"/>
    <n v="54.94"/>
    <n v="5"/>
    <x v="2242"/>
    <d v="2003-10-21T00:00:00"/>
    <s v="Resolved"/>
    <n v="4"/>
    <n v="10"/>
    <x v="0"/>
    <x v="2"/>
    <n v="64"/>
    <s v="S32_3522"/>
    <s v="Mini Auto Werke"/>
    <s v="7675-3555"/>
    <s v="Kirchgasse 6"/>
    <m/>
    <s v="Graz"/>
    <m/>
    <n v="8010"/>
    <x v="5"/>
    <s v="EMEA"/>
    <s v="Mendel"/>
    <s v="Roland"/>
    <s v="Small"/>
  </r>
  <r>
    <n v="10175"/>
    <n v="29"/>
    <n v="74.98"/>
    <n v="12"/>
    <x v="2243"/>
    <d v="2003-11-06T00:00:00"/>
    <s v="Shipped"/>
    <n v="4"/>
    <n v="11"/>
    <x v="0"/>
    <x v="2"/>
    <n v="64"/>
    <s v="S32_3522"/>
    <s v="Stylish Desk Decors, Co."/>
    <s v="(171) 555-0297"/>
    <s v="35 King George"/>
    <m/>
    <s v="London"/>
    <m/>
    <s v="WX3 6FW"/>
    <x v="6"/>
    <s v="EMEA"/>
    <s v="Brown"/>
    <s v="Ann"/>
    <s v="Small"/>
  </r>
  <r>
    <n v="10183"/>
    <n v="49"/>
    <n v="64.64"/>
    <n v="4"/>
    <x v="2244"/>
    <d v="2003-11-13T00:00:00"/>
    <s v="Shipped"/>
    <n v="4"/>
    <n v="11"/>
    <x v="0"/>
    <x v="2"/>
    <n v="64"/>
    <s v="S32_3522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194"/>
    <n v="39"/>
    <n v="54.94"/>
    <n v="7"/>
    <x v="2245"/>
    <d v="2003-11-25T00:00:00"/>
    <s v="Shipped"/>
    <n v="4"/>
    <n v="11"/>
    <x v="0"/>
    <x v="2"/>
    <n v="64"/>
    <s v="S32_3522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6"/>
    <n v="58.82"/>
    <n v="2"/>
    <x v="2246"/>
    <d v="2003-12-05T00:00:00"/>
    <s v="Shipped"/>
    <n v="4"/>
    <n v="12"/>
    <x v="0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217"/>
    <n v="39"/>
    <n v="62.05"/>
    <n v="7"/>
    <x v="2247"/>
    <d v="2004-02-04T00:00:00"/>
    <s v="Shipped"/>
    <n v="1"/>
    <n v="2"/>
    <x v="1"/>
    <x v="2"/>
    <n v="64"/>
    <s v="S32_3522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30"/>
    <n v="73.040000000000006"/>
    <n v="12"/>
    <x v="2248"/>
    <d v="2004-03-11T00:00:00"/>
    <s v="Shipped"/>
    <n v="1"/>
    <n v="3"/>
    <x v="1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45"/>
    <n v="44"/>
    <n v="69.16"/>
    <n v="5"/>
    <x v="2249"/>
    <d v="2004-05-04T00:00:00"/>
    <s v="Shipped"/>
    <n v="2"/>
    <n v="5"/>
    <x v="1"/>
    <x v="2"/>
    <n v="64"/>
    <s v="S32_3522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20"/>
    <n v="61.41"/>
    <n v="2"/>
    <x v="2250"/>
    <d v="2004-06-15T00:00:00"/>
    <s v="Shipped"/>
    <n v="2"/>
    <n v="6"/>
    <x v="1"/>
    <x v="2"/>
    <n v="64"/>
    <s v="S32_3522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270"/>
    <n v="21"/>
    <n v="63.35"/>
    <n v="5"/>
    <x v="2251"/>
    <d v="2004-07-19T00:00:00"/>
    <s v="Shipped"/>
    <n v="3"/>
    <n v="7"/>
    <x v="1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281"/>
    <n v="36"/>
    <n v="77.569999999999993"/>
    <n v="12"/>
    <x v="2252"/>
    <d v="2004-08-19T00:00:00"/>
    <s v="Shipped"/>
    <n v="3"/>
    <n v="8"/>
    <x v="1"/>
    <x v="2"/>
    <n v="64"/>
    <s v="S32_3522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32"/>
    <n v="71.75"/>
    <n v="7"/>
    <x v="2253"/>
    <d v="2004-09-08T00:00:00"/>
    <s v="Shipped"/>
    <n v="3"/>
    <n v="9"/>
    <x v="1"/>
    <x v="2"/>
    <n v="64"/>
    <s v="S32_3522"/>
    <s v="Scandinavian Gift Ideas"/>
    <s v="0695-34 6555"/>
    <s v="?kergatan 24"/>
    <m/>
    <s v="Boras"/>
    <m/>
    <s v="S-844 67"/>
    <x v="8"/>
    <s v="EMEA"/>
    <s v="Larsson"/>
    <s v="Maria"/>
    <s v="Small"/>
  </r>
  <r>
    <n v="10304"/>
    <n v="36"/>
    <n v="73.040000000000006"/>
    <n v="2"/>
    <x v="2254"/>
    <d v="2004-10-11T00:00:00"/>
    <s v="Shipped"/>
    <n v="4"/>
    <n v="10"/>
    <x v="1"/>
    <x v="2"/>
    <n v="64"/>
    <s v="S32_3522"/>
    <s v="Auto Assoc. &amp; Cie."/>
    <s v="30.59.8555"/>
    <s v="67, avenue de l'Europe"/>
    <m/>
    <s v="Versailles"/>
    <m/>
    <n v="78000"/>
    <x v="1"/>
    <s v="EMEA"/>
    <s v="Tonini"/>
    <s v="Daniel"/>
    <s v="Small"/>
  </r>
  <r>
    <n v="10313"/>
    <n v="34"/>
    <n v="56.24"/>
    <n v="10"/>
    <x v="2255"/>
    <d v="2004-10-22T00:00:00"/>
    <s v="Shipped"/>
    <n v="4"/>
    <n v="10"/>
    <x v="1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48"/>
    <n v="100"/>
    <n v="4"/>
    <x v="1001"/>
    <d v="2004-11-05T00:00:00"/>
    <s v="Shipped"/>
    <n v="4"/>
    <n v="11"/>
    <x v="1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s v="Large"/>
  </r>
  <r>
    <n v="10333"/>
    <n v="33"/>
    <n v="73.69"/>
    <n v="4"/>
    <x v="2256"/>
    <d v="2004-11-18T00:00:00"/>
    <s v="Shipped"/>
    <n v="4"/>
    <n v="11"/>
    <x v="1"/>
    <x v="2"/>
    <n v="64"/>
    <s v="S32_3522"/>
    <s v="Mini Wheels Co."/>
    <n v="6505555787"/>
    <s v="5557 North Pendale Street"/>
    <m/>
    <s v="San Francisco"/>
    <s v="CA"/>
    <m/>
    <x v="0"/>
    <s v="NA"/>
    <s v="Murphy"/>
    <s v="Julie"/>
    <s v="Small"/>
  </r>
  <r>
    <n v="10348"/>
    <n v="31"/>
    <n v="100"/>
    <n v="5"/>
    <x v="2257"/>
    <d v="2004-11-01T00:00:00"/>
    <s v="Shipped"/>
    <n v="4"/>
    <n v="11"/>
    <x v="1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s v="Medium"/>
  </r>
  <r>
    <n v="10358"/>
    <n v="36"/>
    <n v="100"/>
    <n v="2"/>
    <x v="2258"/>
    <d v="2004-12-10T00:00:00"/>
    <s v="Shipped"/>
    <n v="4"/>
    <n v="12"/>
    <x v="1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s v="Medium"/>
  </r>
  <r>
    <n v="10370"/>
    <n v="25"/>
    <n v="100"/>
    <n v="3"/>
    <x v="2259"/>
    <d v="2005-01-20T00:00:00"/>
    <s v="Shipped"/>
    <n v="1"/>
    <n v="1"/>
    <x v="2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382"/>
    <n v="48"/>
    <n v="100"/>
    <n v="8"/>
    <x v="2260"/>
    <d v="2005-02-17T00:00:00"/>
    <s v="Shipped"/>
    <n v="1"/>
    <n v="2"/>
    <x v="2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11"/>
    <n v="27"/>
    <n v="69.16"/>
    <n v="5"/>
    <x v="2261"/>
    <d v="2005-05-01T00:00:00"/>
    <s v="Shipped"/>
    <n v="2"/>
    <n v="5"/>
    <x v="2"/>
    <x v="2"/>
    <n v="64"/>
    <s v="S32_352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424"/>
    <n v="44"/>
    <n v="61.41"/>
    <n v="2"/>
    <x v="444"/>
    <d v="2005-05-31T00:00:00"/>
    <s v="In Process"/>
    <n v="2"/>
    <n v="5"/>
    <x v="2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s v="Small"/>
  </r>
  <r>
    <n v="10106"/>
    <n v="33"/>
    <n v="72.92"/>
    <n v="5"/>
    <x v="2262"/>
    <d v="2003-02-17T00:00:00"/>
    <s v="Shipped"/>
    <n v="1"/>
    <n v="2"/>
    <x v="0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29"/>
    <n v="72.23"/>
    <n v="11"/>
    <x v="2263"/>
    <d v="2003-04-29T00:00:00"/>
    <s v="Shipped"/>
    <n v="2"/>
    <n v="4"/>
    <x v="0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49"/>
    <n v="57.1"/>
    <n v="6"/>
    <x v="2264"/>
    <d v="2003-06-27T00:00:00"/>
    <s v="Shipped"/>
    <n v="2"/>
    <n v="6"/>
    <x v="0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s v="Small"/>
  </r>
  <r>
    <n v="10144"/>
    <n v="20"/>
    <n v="81.86"/>
    <n v="1"/>
    <x v="2265"/>
    <d v="2003-08-13T00:00:00"/>
    <s v="Shipped"/>
    <n v="3"/>
    <n v="8"/>
    <x v="0"/>
    <x v="3"/>
    <n v="68"/>
    <s v="S32_4289"/>
    <s v="Royale Belge"/>
    <s v="(071) 23 67 2555"/>
    <s v="Boulevard Tirou, 255"/>
    <m/>
    <s v="Charleroi"/>
    <m/>
    <s v="B-6000"/>
    <x v="14"/>
    <s v="EMEA"/>
    <s v="Cartrain"/>
    <s v="Pascale"/>
    <s v="Small"/>
  </r>
  <r>
    <n v="10168"/>
    <n v="31"/>
    <n v="73.61"/>
    <n v="12"/>
    <x v="2266"/>
    <d v="2003-10-28T00:00:00"/>
    <s v="Shipped"/>
    <n v="4"/>
    <n v="10"/>
    <x v="0"/>
    <x v="3"/>
    <n v="68"/>
    <s v="S32_4289"/>
    <s v="Technics Stores Inc."/>
    <n v="6505556809"/>
    <s v="9408 Furth Circle"/>
    <m/>
    <s v="Burlingame"/>
    <s v="CA"/>
    <n v="94217"/>
    <x v="0"/>
    <s v="NA"/>
    <s v="Hirano"/>
    <s v="Juri"/>
    <s v="Small"/>
  </r>
  <r>
    <n v="10210"/>
    <n v="39"/>
    <n v="59.16"/>
    <n v="10"/>
    <x v="2267"/>
    <d v="2004-01-12T00:00:00"/>
    <s v="Shipped"/>
    <n v="1"/>
    <n v="1"/>
    <x v="1"/>
    <x v="3"/>
    <n v="68"/>
    <s v="S32_4289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0"/>
    <n v="66.040000000000006"/>
    <n v="12"/>
    <x v="2268"/>
    <d v="2004-02-20T00:00:00"/>
    <s v="Shipped"/>
    <n v="1"/>
    <n v="2"/>
    <x v="1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4"/>
    <n v="77.73"/>
    <n v="6"/>
    <x v="2269"/>
    <d v="2004-04-02T00:00:00"/>
    <s v="Shipped"/>
    <n v="2"/>
    <n v="4"/>
    <x v="1"/>
    <x v="3"/>
    <n v="68"/>
    <s v="S32_4289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50"/>
    <n v="61.22"/>
    <n v="7"/>
    <x v="2270"/>
    <d v="2004-05-11T00:00:00"/>
    <s v="Shipped"/>
    <n v="2"/>
    <n v="5"/>
    <x v="1"/>
    <x v="3"/>
    <n v="68"/>
    <s v="S32_4289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40"/>
    <n v="79.11"/>
    <n v="2"/>
    <x v="2271"/>
    <d v="2004-06-24T00:00:00"/>
    <s v="Cancelled"/>
    <n v="2"/>
    <n v="6"/>
    <x v="1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28"/>
    <n v="63.97"/>
    <n v="12"/>
    <x v="2272"/>
    <d v="2004-07-23T00:00:00"/>
    <s v="Shipped"/>
    <n v="3"/>
    <n v="7"/>
    <x v="1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50"/>
    <n v="81.86"/>
    <n v="4"/>
    <x v="2273"/>
    <d v="2004-08-21T00:00:00"/>
    <s v="Shipped"/>
    <n v="3"/>
    <n v="8"/>
    <x v="1"/>
    <x v="3"/>
    <n v="68"/>
    <s v="S32_4289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7"/>
    <n v="28"/>
    <n v="79.8"/>
    <n v="7"/>
    <x v="2274"/>
    <d v="2004-09-16T00:00:00"/>
    <s v="Shipped"/>
    <n v="3"/>
    <n v="9"/>
    <x v="1"/>
    <x v="3"/>
    <n v="68"/>
    <s v="S32_4289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308"/>
    <n v="46"/>
    <n v="66.040000000000006"/>
    <n v="10"/>
    <x v="2275"/>
    <d v="2004-10-15T00:00:00"/>
    <s v="Shipped"/>
    <n v="4"/>
    <n v="10"/>
    <x v="1"/>
    <x v="3"/>
    <n v="68"/>
    <s v="S32_4289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4"/>
    <n v="59.16"/>
    <n v="2"/>
    <x v="2276"/>
    <d v="2004-11-01T00:00:00"/>
    <s v="Shipped"/>
    <n v="4"/>
    <n v="11"/>
    <x v="1"/>
    <x v="3"/>
    <n v="68"/>
    <s v="S32_4289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4"/>
    <n v="81.17"/>
    <n v="5"/>
    <x v="2277"/>
    <d v="2004-11-12T00:00:00"/>
    <s v="Shipped"/>
    <n v="4"/>
    <n v="11"/>
    <x v="1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39"/>
    <n v="59.16"/>
    <n v="3"/>
    <x v="2267"/>
    <d v="2004-11-24T00:00:00"/>
    <s v="Shipped"/>
    <n v="4"/>
    <n v="11"/>
    <x v="1"/>
    <x v="3"/>
    <n v="68"/>
    <s v="S32_4289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44.51"/>
    <n v="7"/>
    <x v="2278"/>
    <d v="2004-12-04T00:00:00"/>
    <s v="Shipped"/>
    <n v="4"/>
    <n v="12"/>
    <x v="1"/>
    <x v="3"/>
    <n v="68"/>
    <s v="S32_4289"/>
    <s v="Gift Ideas Corp."/>
    <n v="2035554407"/>
    <s v="2440 Pompton St."/>
    <m/>
    <s v="Glendale"/>
    <s v="CT"/>
    <n v="97561"/>
    <x v="0"/>
    <s v="NA"/>
    <s v="Lewis"/>
    <s v="Dan"/>
    <s v="Small"/>
  </r>
  <r>
    <n v="10361"/>
    <n v="49"/>
    <n v="72.33"/>
    <n v="2"/>
    <x v="2279"/>
    <d v="2004-12-17T00:00:00"/>
    <s v="Shipped"/>
    <n v="4"/>
    <n v="12"/>
    <x v="1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82.26"/>
    <n v="4"/>
    <x v="2280"/>
    <d v="2005-02-03T00:00:00"/>
    <s v="Shipped"/>
    <n v="1"/>
    <n v="2"/>
    <x v="2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35"/>
    <n v="100"/>
    <n v="8"/>
    <x v="2281"/>
    <d v="2005-03-03T00:00:00"/>
    <s v="Shipped"/>
    <n v="1"/>
    <n v="3"/>
    <x v="2"/>
    <x v="3"/>
    <n v="68"/>
    <s v="S32_4289"/>
    <s v="FunGiftIdeas.com"/>
    <n v="5085552555"/>
    <s v="1785 First Street"/>
    <m/>
    <s v="New Bedford"/>
    <s v="MA"/>
    <n v="50553"/>
    <x v="0"/>
    <s v="NA"/>
    <s v="Benitez"/>
    <s v="Violeta"/>
    <s v="Medium"/>
  </r>
  <r>
    <n v="10398"/>
    <n v="22"/>
    <n v="67.41"/>
    <n v="4"/>
    <x v="2282"/>
    <d v="2005-03-30T00:00:00"/>
    <s v="Shipped"/>
    <n v="1"/>
    <n v="3"/>
    <x v="2"/>
    <x v="3"/>
    <n v="68"/>
    <s v="S32_4289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62"/>
    <n v="77.73"/>
    <n v="6"/>
    <x v="2283"/>
    <d v="2005-04-03T00:00:00"/>
    <s v="On Hold"/>
    <n v="2"/>
    <n v="4"/>
    <x v="2"/>
    <x v="3"/>
    <n v="68"/>
    <s v="S32_4289"/>
    <s v="Tekni Collectables Inc."/>
    <n v="2015559350"/>
    <s v="7476 Moss Rd."/>
    <m/>
    <s v="Newark"/>
    <s v="NJ"/>
    <n v="94019"/>
    <x v="0"/>
    <s v="NA"/>
    <s v="Brown"/>
    <s v="William"/>
    <s v="Medium"/>
  </r>
  <r>
    <n v="10416"/>
    <n v="26"/>
    <n v="61.22"/>
    <n v="7"/>
    <x v="2284"/>
    <d v="2005-05-10T00:00:00"/>
    <s v="Shipped"/>
    <n v="2"/>
    <n v="5"/>
    <x v="2"/>
    <x v="3"/>
    <n v="68"/>
    <s v="S32_4289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8"/>
    <n v="31"/>
    <n v="100"/>
    <n v="16"/>
    <x v="2285"/>
    <d v="2003-03-03T00:00:00"/>
    <s v="Shipped"/>
    <n v="1"/>
    <n v="3"/>
    <x v="0"/>
    <x v="0"/>
    <n v="102"/>
    <s v="S32_4485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121"/>
    <n v="25"/>
    <n v="86.74"/>
    <n v="3"/>
    <x v="2286"/>
    <d v="2003-05-07T00:00:00"/>
    <s v="Shipped"/>
    <n v="2"/>
    <n v="5"/>
    <x v="0"/>
    <x v="0"/>
    <n v="102"/>
    <s v="S32_4485"/>
    <s v="Reims Collectables"/>
    <s v="26.47.1555"/>
    <s v="59 rue de l'Abbaye"/>
    <m/>
    <s v="Reims"/>
    <m/>
    <n v="51100"/>
    <x v="1"/>
    <s v="EMEA"/>
    <s v="Henriot"/>
    <s v="Paul"/>
    <s v="Small"/>
  </r>
  <r>
    <n v="10135"/>
    <n v="30"/>
    <n v="89.8"/>
    <n v="17"/>
    <x v="2287"/>
    <d v="2003-07-02T00:00:00"/>
    <s v="Shipped"/>
    <n v="3"/>
    <n v="7"/>
    <x v="0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45"/>
    <n v="27"/>
    <n v="100"/>
    <n v="4"/>
    <x v="2288"/>
    <d v="2003-08-25T00:00:00"/>
    <s v="Shipped"/>
    <n v="3"/>
    <n v="8"/>
    <x v="0"/>
    <x v="0"/>
    <n v="102"/>
    <s v="S32_4485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23"/>
    <n v="100"/>
    <n v="12"/>
    <x v="2289"/>
    <d v="2003-10-10T00:00:00"/>
    <s v="Shipped"/>
    <n v="4"/>
    <n v="10"/>
    <x v="0"/>
    <x v="0"/>
    <n v="102"/>
    <s v="S32_4485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34"/>
    <n v="100"/>
    <n v="12"/>
    <x v="2290"/>
    <d v="2003-11-04T00:00:00"/>
    <s v="Shipped"/>
    <n v="4"/>
    <n v="11"/>
    <x v="0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2"/>
    <n v="100"/>
    <n v="7"/>
    <x v="2291"/>
    <d v="2003-11-11T00:00:00"/>
    <s v="Shipped"/>
    <n v="4"/>
    <n v="11"/>
    <x v="0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2"/>
    <n v="85.72"/>
    <n v="4"/>
    <x v="2292"/>
    <d v="2003-11-19T00:00:00"/>
    <s v="Shipped"/>
    <n v="4"/>
    <n v="11"/>
    <x v="0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s v="Medium"/>
  </r>
  <r>
    <n v="10211"/>
    <n v="37"/>
    <n v="100"/>
    <n v="12"/>
    <x v="2293"/>
    <d v="2004-01-15T00:00:00"/>
    <s v="Shipped"/>
    <n v="1"/>
    <n v="1"/>
    <x v="1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30"/>
    <n v="100"/>
    <n v="5"/>
    <x v="2294"/>
    <d v="2004-02-21T00:00:00"/>
    <s v="Shipped"/>
    <n v="1"/>
    <n v="2"/>
    <x v="1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27"/>
    <n v="100"/>
    <n v="5"/>
    <x v="2295"/>
    <d v="2004-04-05T00:00:00"/>
    <s v="Shipped"/>
    <n v="2"/>
    <n v="4"/>
    <x v="1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s v="Medium"/>
  </r>
  <r>
    <n v="10252"/>
    <n v="25"/>
    <n v="100"/>
    <n v="9"/>
    <x v="2296"/>
    <d v="2004-05-26T00:00:00"/>
    <s v="Shipped"/>
    <n v="2"/>
    <n v="5"/>
    <x v="1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s v="Small"/>
  </r>
  <r>
    <n v="10264"/>
    <n v="34"/>
    <n v="97.97"/>
    <n v="7"/>
    <x v="2297"/>
    <d v="2004-06-30T00:00:00"/>
    <s v="Shipped"/>
    <n v="2"/>
    <n v="6"/>
    <x v="1"/>
    <x v="0"/>
    <n v="102"/>
    <s v="S32_4485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38"/>
    <n v="100"/>
    <n v="13"/>
    <x v="2298"/>
    <d v="2004-08-02T00:00:00"/>
    <s v="Shipped"/>
    <n v="3"/>
    <n v="8"/>
    <x v="1"/>
    <x v="0"/>
    <n v="102"/>
    <s v="S32_4485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285"/>
    <n v="26"/>
    <n v="100"/>
    <n v="4"/>
    <x v="2299"/>
    <d v="2004-08-27T00:00:00"/>
    <s v="Shipped"/>
    <n v="3"/>
    <n v="8"/>
    <x v="1"/>
    <x v="0"/>
    <n v="102"/>
    <s v="S32_4485"/>
    <s v="Marta's Replicas Co."/>
    <n v="6175558555"/>
    <s v="39323 Spinnaker Dr."/>
    <m/>
    <s v="Cambridge"/>
    <s v="MA"/>
    <n v="51247"/>
    <x v="0"/>
    <s v="NA"/>
    <s v="Hernandez"/>
    <s v="Marta"/>
    <s v="Small"/>
  </r>
  <r>
    <n v="10299"/>
    <n v="38"/>
    <n v="100"/>
    <n v="7"/>
    <x v="2300"/>
    <d v="2004-09-30T00:00:00"/>
    <s v="Shipped"/>
    <n v="3"/>
    <n v="9"/>
    <x v="1"/>
    <x v="0"/>
    <n v="102"/>
    <s v="S32_4485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50"/>
    <n v="84.7"/>
    <n v="3"/>
    <x v="2301"/>
    <d v="2004-10-15T00:00:00"/>
    <s v="Shipped"/>
    <n v="4"/>
    <n v="10"/>
    <x v="1"/>
    <x v="0"/>
    <n v="102"/>
    <s v="S32_4485"/>
    <s v="Baane Mini Imports"/>
    <s v="07-98 9555"/>
    <s v="Erling Skakkes gate 78"/>
    <m/>
    <s v="Stavern"/>
    <m/>
    <n v="4110"/>
    <x v="2"/>
    <s v="EMEA"/>
    <s v="Bergulfsen"/>
    <s v="Jonas"/>
    <s v="Medium"/>
  </r>
  <r>
    <n v="10319"/>
    <n v="22"/>
    <n v="100"/>
    <n v="8"/>
    <x v="2302"/>
    <d v="2004-11-03T00:00:00"/>
    <s v="Shipped"/>
    <n v="4"/>
    <n v="11"/>
    <x v="1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s v="Small"/>
  </r>
  <r>
    <n v="10331"/>
    <n v="32"/>
    <n v="100"/>
    <n v="4"/>
    <x v="2303"/>
    <d v="2004-11-17T00:00:00"/>
    <s v="Shipped"/>
    <n v="4"/>
    <n v="11"/>
    <x v="1"/>
    <x v="0"/>
    <n v="102"/>
    <s v="S32_4485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1"/>
    <n v="31"/>
    <n v="71.02"/>
    <n v="4"/>
    <x v="2304"/>
    <d v="2004-11-24T00:00:00"/>
    <s v="Shipped"/>
    <n v="4"/>
    <n v="11"/>
    <x v="1"/>
    <x v="0"/>
    <n v="102"/>
    <s v="S32_4485"/>
    <s v="Salzburg Collectables"/>
    <s v="6562-9555"/>
    <s v="Geislweg 14"/>
    <m/>
    <s v="Salzburg"/>
    <m/>
    <n v="5020"/>
    <x v="5"/>
    <s v="EMEA"/>
    <s v="Pipps"/>
    <s v="Georg"/>
    <s v="Small"/>
  </r>
  <r>
    <n v="10355"/>
    <n v="40"/>
    <n v="100"/>
    <n v="5"/>
    <x v="2305"/>
    <d v="2004-12-07T00:00:00"/>
    <s v="Shipped"/>
    <n v="4"/>
    <n v="12"/>
    <x v="1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s v="Medium"/>
  </r>
  <r>
    <n v="10365"/>
    <n v="22"/>
    <n v="100"/>
    <n v="3"/>
    <x v="2306"/>
    <d v="2005-01-07T00:00:00"/>
    <s v="Shipped"/>
    <n v="1"/>
    <n v="1"/>
    <x v="2"/>
    <x v="0"/>
    <n v="102"/>
    <s v="S32_4485"/>
    <s v="Mini Creations Ltd."/>
    <n v="5085559555"/>
    <s v="4575 Hillside Dr."/>
    <m/>
    <s v="New Bedford"/>
    <s v="MA"/>
    <n v="50553"/>
    <x v="0"/>
    <s v="NA"/>
    <s v="Tam"/>
    <s v="Wing C"/>
    <s v="Medium"/>
  </r>
  <r>
    <n v="10375"/>
    <n v="41"/>
    <n v="100"/>
    <n v="15"/>
    <x v="2307"/>
    <d v="2005-02-03T00:00:00"/>
    <s v="Shipped"/>
    <n v="1"/>
    <n v="2"/>
    <x v="2"/>
    <x v="0"/>
    <n v="102"/>
    <s v="S32_4485"/>
    <s v="La Rochelle Gifts"/>
    <s v="40.67.8555"/>
    <s v="67, rue des Cinquante Otages"/>
    <m/>
    <s v="Nantes"/>
    <m/>
    <n v="44000"/>
    <x v="1"/>
    <s v="EMEA"/>
    <s v="Labrune"/>
    <s v="Janine"/>
    <s v="Medium"/>
  </r>
  <r>
    <n v="10390"/>
    <n v="45"/>
    <n v="48.98"/>
    <n v="12"/>
    <x v="746"/>
    <d v="2005-03-04T00:00:00"/>
    <s v="Shipped"/>
    <n v="1"/>
    <n v="3"/>
    <x v="2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03"/>
    <n v="45"/>
    <n v="100"/>
    <n v="5"/>
    <x v="2308"/>
    <d v="2005-04-08T00:00:00"/>
    <s v="Shipped"/>
    <n v="2"/>
    <n v="4"/>
    <x v="2"/>
    <x v="0"/>
    <n v="102"/>
    <s v="S32_4485"/>
    <s v="UK Collectables, Ltd."/>
    <s v="(171) 555-2282"/>
    <s v="Berkeley Gardens 12  Brewery"/>
    <m/>
    <s v="Liverpool"/>
    <m/>
    <s v="WX1 6LT"/>
    <x v="6"/>
    <s v="EMEA"/>
    <s v="Devon"/>
    <s v="Elizabeth"/>
    <s v="Medium"/>
  </r>
  <r>
    <n v="10106"/>
    <n v="39"/>
    <n v="40.15"/>
    <n v="6"/>
    <x v="2309"/>
    <d v="2003-02-17T00:00:00"/>
    <s v="Shipped"/>
    <n v="1"/>
    <n v="2"/>
    <x v="0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s v="Small"/>
  </r>
  <r>
    <n v="10120"/>
    <n v="49"/>
    <n v="50.62"/>
    <n v="12"/>
    <x v="2310"/>
    <d v="2003-04-29T00:00:00"/>
    <s v="Shipped"/>
    <n v="2"/>
    <n v="4"/>
    <x v="0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3"/>
    <n v="27"/>
    <n v="50.19"/>
    <n v="7"/>
    <x v="2311"/>
    <d v="2003-06-27T00:00:00"/>
    <s v="Shipped"/>
    <n v="2"/>
    <n v="6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</r>
  <r>
    <n v="10143"/>
    <n v="34"/>
    <n v="36.659999999999997"/>
    <n v="1"/>
    <x v="2312"/>
    <d v="2003-08-10T00:00:00"/>
    <s v="Shipped"/>
    <n v="3"/>
    <n v="8"/>
    <x v="0"/>
    <x v="3"/>
    <n v="43"/>
    <s v="S50_1341"/>
    <s v="Mini Creations Ltd."/>
    <n v="5085559555"/>
    <s v="4575 Hillside Dr."/>
    <m/>
    <s v="New Bedford"/>
    <s v="MA"/>
    <n v="50553"/>
    <x v="0"/>
    <s v="NA"/>
    <s v="Tam"/>
    <s v="Wing C"/>
    <s v="Small"/>
  </r>
  <r>
    <n v="10156"/>
    <n v="20"/>
    <n v="41.02"/>
    <n v="1"/>
    <x v="2313"/>
    <d v="2003-10-08T00:00:00"/>
    <s v="Shipped"/>
    <n v="4"/>
    <n v="10"/>
    <x v="0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</r>
  <r>
    <n v="10168"/>
    <n v="48"/>
    <n v="51.93"/>
    <n v="13"/>
    <x v="2314"/>
    <d v="2003-10-28T00:00:00"/>
    <s v="Shipped"/>
    <n v="4"/>
    <n v="10"/>
    <x v="0"/>
    <x v="3"/>
    <n v="43"/>
    <s v="S50_1341"/>
    <s v="Technics Stores Inc."/>
    <n v="6505556809"/>
    <s v="9408 Furth Circle"/>
    <m/>
    <s v="Burlingame"/>
    <s v="CA"/>
    <n v="94217"/>
    <x v="0"/>
    <s v="NA"/>
    <s v="Hirano"/>
    <s v="Juri"/>
    <s v="Small"/>
  </r>
  <r>
    <n v="10199"/>
    <n v="29"/>
    <n v="38.4"/>
    <n v="1"/>
    <x v="2315"/>
    <d v="2003-12-01T00:00:00"/>
    <s v="Shipped"/>
    <n v="4"/>
    <n v="12"/>
    <x v="0"/>
    <x v="3"/>
    <n v="43"/>
    <s v="S50_1341"/>
    <s v="West Coast Collectables Co."/>
    <n v="3105553722"/>
    <s v="3675 Furth Circle"/>
    <m/>
    <s v="Burbank"/>
    <s v="CA"/>
    <n v="94019"/>
    <x v="0"/>
    <s v="NA"/>
    <s v="Thompson"/>
    <s v="Steve"/>
    <s v="Small"/>
  </r>
  <r>
    <n v="10210"/>
    <n v="43"/>
    <n v="41.02"/>
    <n v="11"/>
    <x v="2316"/>
    <d v="2004-01-12T00:00:00"/>
    <s v="Shipped"/>
    <n v="1"/>
    <n v="1"/>
    <x v="1"/>
    <x v="3"/>
    <n v="43"/>
    <s v="S50_134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41"/>
    <n v="46.26"/>
    <n v="13"/>
    <x v="2317"/>
    <d v="2004-02-20T00:00:00"/>
    <s v="Shipped"/>
    <n v="1"/>
    <n v="2"/>
    <x v="1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41"/>
    <n v="35.35"/>
    <n v="7"/>
    <x v="2318"/>
    <d v="2004-04-02T00:00:00"/>
    <s v="Shipped"/>
    <n v="2"/>
    <n v="4"/>
    <x v="1"/>
    <x v="3"/>
    <n v="43"/>
    <s v="S50_134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6"/>
    <n v="51.93"/>
    <n v="8"/>
    <x v="2319"/>
    <d v="2004-05-11T00:00:00"/>
    <s v="Shipped"/>
    <n v="2"/>
    <n v="5"/>
    <x v="1"/>
    <x v="3"/>
    <n v="43"/>
    <s v="S50_1341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49"/>
    <n v="37.97"/>
    <n v="3"/>
    <x v="2320"/>
    <d v="2004-06-24T00:00:00"/>
    <s v="Cancelled"/>
    <n v="2"/>
    <n v="6"/>
    <x v="1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8"/>
    <n v="45.39"/>
    <n v="13"/>
    <x v="2321"/>
    <d v="2004-07-23T00:00:00"/>
    <s v="Shipped"/>
    <n v="3"/>
    <n v="7"/>
    <x v="1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33"/>
    <n v="51.93"/>
    <n v="5"/>
    <x v="2322"/>
    <d v="2004-08-21T00:00:00"/>
    <s v="Shipped"/>
    <n v="3"/>
    <n v="8"/>
    <x v="1"/>
    <x v="3"/>
    <n v="43"/>
    <s v="S50_134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6"/>
    <n v="48.44"/>
    <n v="1"/>
    <x v="2323"/>
    <d v="2004-09-15T00:00:00"/>
    <s v="Shipped"/>
    <n v="3"/>
    <n v="9"/>
    <x v="1"/>
    <x v="3"/>
    <n v="43"/>
    <s v="S50_1341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47"/>
    <n v="43.64"/>
    <n v="11"/>
    <x v="2324"/>
    <d v="2004-10-15T00:00:00"/>
    <s v="Shipped"/>
    <n v="4"/>
    <n v="10"/>
    <x v="1"/>
    <x v="3"/>
    <n v="43"/>
    <s v="S50_134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47.57"/>
    <n v="3"/>
    <x v="2325"/>
    <d v="2004-11-01T00:00:00"/>
    <s v="Shipped"/>
    <n v="4"/>
    <n v="11"/>
    <x v="1"/>
    <x v="3"/>
    <n v="43"/>
    <s v="S50_134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4"/>
    <n v="51.93"/>
    <n v="7"/>
    <x v="2326"/>
    <d v="2004-11-12T00:00:00"/>
    <s v="Shipped"/>
    <n v="4"/>
    <n v="11"/>
    <x v="1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40"/>
    <n v="50.62"/>
    <n v="4"/>
    <x v="2327"/>
    <d v="2004-11-24T00:00:00"/>
    <s v="Shipped"/>
    <n v="4"/>
    <n v="11"/>
    <x v="1"/>
    <x v="3"/>
    <n v="43"/>
    <s v="S50_1341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40"/>
    <n v="82.21"/>
    <n v="8"/>
    <x v="2328"/>
    <d v="2004-12-04T00:00:00"/>
    <s v="Shipped"/>
    <n v="4"/>
    <n v="12"/>
    <x v="1"/>
    <x v="3"/>
    <n v="43"/>
    <s v="S50_1341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33"/>
    <n v="82.59"/>
    <n v="3"/>
    <x v="2329"/>
    <d v="2004-12-17T00:00:00"/>
    <s v="Shipped"/>
    <n v="4"/>
    <n v="12"/>
    <x v="1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49"/>
    <n v="65.8"/>
    <n v="5"/>
    <x v="2330"/>
    <d v="2005-02-03T00:00:00"/>
    <s v="Shipped"/>
    <n v="1"/>
    <n v="2"/>
    <x v="2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27"/>
    <n v="100"/>
    <n v="1"/>
    <x v="2331"/>
    <d v="2005-03-03T00:00:00"/>
    <s v="Shipped"/>
    <n v="1"/>
    <n v="3"/>
    <x v="2"/>
    <x v="3"/>
    <n v="43"/>
    <s v="S50_1341"/>
    <s v="FunGiftIdeas.com"/>
    <n v="5085552555"/>
    <s v="1785 First Street"/>
    <m/>
    <s v="New Bedford"/>
    <s v="MA"/>
    <n v="50553"/>
    <x v="0"/>
    <s v="NA"/>
    <s v="Benitez"/>
    <s v="Violeta"/>
    <s v="Medium"/>
  </r>
  <r>
    <n v="10398"/>
    <n v="49"/>
    <n v="36.659999999999997"/>
    <n v="5"/>
    <x v="2332"/>
    <d v="2005-03-30T00:00:00"/>
    <s v="Shipped"/>
    <n v="1"/>
    <n v="3"/>
    <x v="2"/>
    <x v="3"/>
    <n v="43"/>
    <s v="S50_1341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56"/>
    <n v="35.35"/>
    <n v="7"/>
    <x v="2333"/>
    <d v="2005-04-03T00:00:00"/>
    <s v="On Hold"/>
    <n v="2"/>
    <n v="4"/>
    <x v="2"/>
    <x v="3"/>
    <n v="43"/>
    <s v="S50_1341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37"/>
    <n v="51.93"/>
    <n v="8"/>
    <x v="2334"/>
    <d v="2005-05-10T00:00:00"/>
    <s v="Shipped"/>
    <n v="2"/>
    <n v="5"/>
    <x v="2"/>
    <x v="3"/>
    <n v="43"/>
    <s v="S50_134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4"/>
    <n v="33"/>
    <n v="100"/>
    <n v="7"/>
    <x v="2335"/>
    <d v="2003-01-31T00:00:00"/>
    <s v="Shipped"/>
    <n v="1"/>
    <n v="1"/>
    <x v="0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Medium"/>
  </r>
  <r>
    <n v="10115"/>
    <n v="27"/>
    <n v="100"/>
    <n v="3"/>
    <x v="2336"/>
    <d v="2003-04-04T00:00:00"/>
    <s v="Shipped"/>
    <n v="2"/>
    <n v="4"/>
    <x v="0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127"/>
    <n v="46"/>
    <n v="100"/>
    <n v="9"/>
    <x v="2337"/>
    <d v="2003-06-03T00:00:00"/>
    <s v="Shipped"/>
    <n v="2"/>
    <n v="6"/>
    <x v="0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1"/>
    <n v="44"/>
    <n v="100"/>
    <n v="3"/>
    <x v="2338"/>
    <d v="2003-08-01T00:00:00"/>
    <s v="Shipped"/>
    <n v="3"/>
    <n v="8"/>
    <x v="0"/>
    <x v="2"/>
    <n v="115"/>
    <s v="S50_1392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151"/>
    <n v="26"/>
    <n v="100"/>
    <n v="1"/>
    <x v="2339"/>
    <d v="2003-09-21T00:00:00"/>
    <s v="Shipped"/>
    <n v="3"/>
    <n v="9"/>
    <x v="0"/>
    <x v="2"/>
    <n v="115"/>
    <s v="S50_1392"/>
    <s v="Oulu Toy Supplies, Inc."/>
    <s v="981-443655"/>
    <s v="Torikatu 38"/>
    <m/>
    <s v="Oulu"/>
    <m/>
    <n v="90110"/>
    <x v="4"/>
    <s v="EMEA"/>
    <s v="Koskitalo"/>
    <s v="Pirkko"/>
    <s v="Medium"/>
  </r>
  <r>
    <n v="10165"/>
    <n v="48"/>
    <n v="94.92"/>
    <n v="10"/>
    <x v="2340"/>
    <d v="2003-10-22T00:00:00"/>
    <s v="Shipped"/>
    <n v="4"/>
    <n v="10"/>
    <x v="0"/>
    <x v="2"/>
    <n v="115"/>
    <s v="S50_139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76"/>
    <n v="23"/>
    <n v="100"/>
    <n v="9"/>
    <x v="2341"/>
    <d v="2003-11-06T00:00:00"/>
    <s v="Shipped"/>
    <n v="4"/>
    <n v="11"/>
    <x v="0"/>
    <x v="2"/>
    <n v="115"/>
    <s v="S50_1392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84"/>
    <n v="45"/>
    <n v="100"/>
    <n v="4"/>
    <x v="968"/>
    <d v="2003-11-14T00:00:00"/>
    <s v="Shipped"/>
    <n v="4"/>
    <n v="11"/>
    <x v="0"/>
    <x v="2"/>
    <n v="115"/>
    <s v="S50_1392"/>
    <s v="Iberia Gift Imports, Corp."/>
    <s v="(95) 555 82 82"/>
    <s v="C/ Romero, 33"/>
    <m/>
    <s v="Sevilla"/>
    <m/>
    <n v="41101"/>
    <x v="7"/>
    <s v="EMEA"/>
    <s v="Roel"/>
    <s v="Jose Pedro"/>
    <s v="Medium"/>
  </r>
  <r>
    <n v="10195"/>
    <n v="49"/>
    <n v="100"/>
    <n v="4"/>
    <x v="2342"/>
    <d v="2003-11-25T00:00:00"/>
    <s v="Shipped"/>
    <n v="4"/>
    <n v="11"/>
    <x v="0"/>
    <x v="2"/>
    <n v="115"/>
    <s v="S50_1392"/>
    <s v="Mini Classics"/>
    <n v="9145554562"/>
    <s v="3758 North Pendale Street"/>
    <m/>
    <s v="White Plains"/>
    <s v="NY"/>
    <n v="24067"/>
    <x v="0"/>
    <s v="NA"/>
    <s v="Frick"/>
    <s v="Steve"/>
    <s v="Medium"/>
  </r>
  <r>
    <n v="10207"/>
    <n v="28"/>
    <n v="94.92"/>
    <n v="5"/>
    <x v="2343"/>
    <d v="2003-12-09T00:00:00"/>
    <s v="Shipped"/>
    <n v="4"/>
    <n v="12"/>
    <x v="0"/>
    <x v="2"/>
    <n v="115"/>
    <s v="S50_1392"/>
    <s v="Diecast Collectables"/>
    <n v="6175552555"/>
    <s v="6251 Ingle Ln."/>
    <m/>
    <s v="Boston"/>
    <s v="MA"/>
    <n v="51003"/>
    <x v="0"/>
    <s v="NA"/>
    <s v="Franco"/>
    <s v="Valarie"/>
    <s v="Small"/>
  </r>
  <r>
    <n v="10220"/>
    <n v="37"/>
    <n v="100"/>
    <n v="9"/>
    <x v="2344"/>
    <d v="2004-02-12T00:00:00"/>
    <s v="Shipped"/>
    <n v="1"/>
    <n v="2"/>
    <x v="1"/>
    <x v="2"/>
    <n v="115"/>
    <s v="S50_1392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230"/>
    <n v="34"/>
    <n v="100"/>
    <n v="7"/>
    <x v="2345"/>
    <d v="2004-03-15T00:00:00"/>
    <s v="Shipped"/>
    <n v="1"/>
    <n v="3"/>
    <x v="1"/>
    <x v="2"/>
    <n v="115"/>
    <s v="S50_1392"/>
    <s v="Blauer See Auto, Co."/>
    <s v="+49 69 66 90 2555"/>
    <s v="Lyonerstr. 34"/>
    <m/>
    <s v="Frankfurt"/>
    <m/>
    <n v="60528"/>
    <x v="16"/>
    <s v="EMEA"/>
    <s v="Keitel"/>
    <s v="Roland"/>
    <s v="Medium"/>
  </r>
  <r>
    <n v="10246"/>
    <n v="22"/>
    <n v="100"/>
    <n v="3"/>
    <x v="2346"/>
    <d v="2004-05-05T00:00:00"/>
    <s v="Shipped"/>
    <n v="2"/>
    <n v="5"/>
    <x v="1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Small"/>
  </r>
  <r>
    <n v="10259"/>
    <n v="29"/>
    <n v="100"/>
    <n v="2"/>
    <x v="2347"/>
    <d v="2004-06-15T00:00:00"/>
    <s v="Shipped"/>
    <n v="2"/>
    <n v="6"/>
    <x v="1"/>
    <x v="2"/>
    <n v="115"/>
    <s v="S50_1392"/>
    <s v="Handji Gifts&amp; Co"/>
    <s v="+65 224 1555"/>
    <s v="Village Close - 106 Linden Road Sandown"/>
    <s v="2nd Floor"/>
    <s v="Singapore"/>
    <m/>
    <n v="69045"/>
    <x v="9"/>
    <s v="APAC"/>
    <s v="Victorino"/>
    <s v="Wendy"/>
    <s v="Medium"/>
  </r>
  <r>
    <n v="10271"/>
    <n v="34"/>
    <n v="98.39"/>
    <n v="3"/>
    <x v="2348"/>
    <d v="2004-07-20T00:00:00"/>
    <s v="Shipped"/>
    <n v="3"/>
    <n v="7"/>
    <x v="1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82"/>
    <n v="38"/>
    <n v="100"/>
    <n v="12"/>
    <x v="2349"/>
    <d v="2004-08-20T00:00:00"/>
    <s v="Shipped"/>
    <n v="3"/>
    <n v="8"/>
    <x v="1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2"/>
    <n v="41"/>
    <n v="100"/>
    <n v="6"/>
    <x v="2350"/>
    <d v="2004-09-08T00:00:00"/>
    <s v="Shipped"/>
    <n v="3"/>
    <n v="9"/>
    <x v="1"/>
    <x v="2"/>
    <n v="115"/>
    <s v="S50_1392"/>
    <s v="Land of Toys Inc."/>
    <n v="2125557818"/>
    <s v="897 Long Airport Avenue"/>
    <m/>
    <s v="NYC"/>
    <s v="NY"/>
    <n v="10022"/>
    <x v="0"/>
    <s v="NA"/>
    <s v="Yu"/>
    <s v="Kwai"/>
    <s v="Medium"/>
  </r>
  <r>
    <n v="10305"/>
    <n v="42"/>
    <n v="100"/>
    <n v="3"/>
    <x v="2351"/>
    <d v="2004-10-13T00:00:00"/>
    <s v="Shipped"/>
    <n v="4"/>
    <n v="10"/>
    <x v="1"/>
    <x v="2"/>
    <n v="115"/>
    <s v="S50_1392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314"/>
    <n v="28"/>
    <n v="100"/>
    <n v="12"/>
    <x v="2352"/>
    <d v="2004-10-22T00:00:00"/>
    <s v="Shipped"/>
    <n v="4"/>
    <n v="10"/>
    <x v="1"/>
    <x v="2"/>
    <n v="115"/>
    <s v="S50_1392"/>
    <s v="Heintze Collectables"/>
    <s v="86 21 3555"/>
    <s v="Smagsloget 45"/>
    <m/>
    <s v="Aaarhus"/>
    <m/>
    <n v="8200"/>
    <x v="13"/>
    <s v="EMEA"/>
    <s v="Ibsen"/>
    <s v="Palle"/>
    <s v="Medium"/>
  </r>
  <r>
    <n v="10325"/>
    <n v="38"/>
    <n v="100"/>
    <n v="4"/>
    <x v="2353"/>
    <d v="2004-11-05T00:00:00"/>
    <s v="Shipped"/>
    <n v="4"/>
    <n v="11"/>
    <x v="1"/>
    <x v="2"/>
    <n v="115"/>
    <s v="S50_1392"/>
    <s v="Baane Mini Imports"/>
    <s v="07-98 9555"/>
    <s v="Erling Skakkes gate 78"/>
    <m/>
    <s v="Stavern"/>
    <m/>
    <n v="4110"/>
    <x v="2"/>
    <s v="EMEA"/>
    <s v="Bergulfsen"/>
    <s v="Jonas"/>
    <s v="Medium"/>
  </r>
  <r>
    <n v="10336"/>
    <n v="23"/>
    <n v="100"/>
    <n v="8"/>
    <x v="2354"/>
    <d v="2004-11-20T00:00:00"/>
    <s v="Shipped"/>
    <n v="4"/>
    <n v="11"/>
    <x v="1"/>
    <x v="2"/>
    <n v="115"/>
    <s v="S50_1392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350"/>
    <n v="31"/>
    <n v="71.400000000000006"/>
    <n v="8"/>
    <x v="809"/>
    <d v="2004-12-02T00:00:00"/>
    <s v="Shipped"/>
    <n v="4"/>
    <n v="12"/>
    <x v="1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Small"/>
  </r>
  <r>
    <n v="10359"/>
    <n v="46"/>
    <n v="100"/>
    <n v="2"/>
    <x v="2355"/>
    <d v="2004-12-15T00:00:00"/>
    <s v="Shipped"/>
    <n v="4"/>
    <n v="12"/>
    <x v="1"/>
    <x v="2"/>
    <n v="115"/>
    <s v="S50_1392"/>
    <s v="Reims Collectables"/>
    <s v="26.47.1555"/>
    <s v="59 rue de l'Abbaye"/>
    <m/>
    <s v="Reims"/>
    <m/>
    <n v="51100"/>
    <x v="1"/>
    <s v="EMEA"/>
    <s v="Henriot"/>
    <s v="Paul"/>
    <s v="Medium"/>
  </r>
  <r>
    <n v="10371"/>
    <n v="48"/>
    <n v="56.55"/>
    <n v="10"/>
    <x v="2356"/>
    <d v="2005-01-23T00:00:00"/>
    <s v="Shipped"/>
    <n v="1"/>
    <n v="1"/>
    <x v="2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83"/>
    <n v="29"/>
    <n v="100"/>
    <n v="13"/>
    <x v="2357"/>
    <d v="2005-02-22T00:00:00"/>
    <s v="Shipped"/>
    <n v="1"/>
    <n v="2"/>
    <x v="2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Medium"/>
  </r>
  <r>
    <n v="10395"/>
    <n v="46"/>
    <n v="100"/>
    <n v="4"/>
    <x v="2358"/>
    <d v="2005-03-17T00:00:00"/>
    <s v="Shipped"/>
    <n v="1"/>
    <n v="3"/>
    <x v="2"/>
    <x v="2"/>
    <n v="115"/>
    <s v="S50_1392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412"/>
    <n v="26"/>
    <n v="100"/>
    <n v="3"/>
    <x v="2359"/>
    <d v="2005-05-03T00:00:00"/>
    <s v="Shipped"/>
    <n v="2"/>
    <n v="5"/>
    <x v="2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s v="Medium"/>
  </r>
  <r>
    <n v="10425"/>
    <n v="18"/>
    <n v="100"/>
    <n v="2"/>
    <x v="2360"/>
    <d v="2005-05-31T00:00:00"/>
    <s v="In Process"/>
    <n v="2"/>
    <n v="5"/>
    <x v="2"/>
    <x v="2"/>
    <n v="115"/>
    <s v="S50_1392"/>
    <s v="La Rochelle Gifts"/>
    <s v="40.67.8555"/>
    <s v="67, rue des Cinquante Otages"/>
    <m/>
    <s v="Nantes"/>
    <m/>
    <n v="44000"/>
    <x v="1"/>
    <s v="EMEA"/>
    <s v="Labrune"/>
    <s v="Janine"/>
    <s v="Small"/>
  </r>
  <r>
    <n v="10104"/>
    <n v="32"/>
    <n v="53.31"/>
    <n v="2"/>
    <x v="2361"/>
    <d v="2003-01-31T00:00:00"/>
    <s v="Shipped"/>
    <n v="1"/>
    <n v="1"/>
    <x v="0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Small"/>
  </r>
  <r>
    <n v="10117"/>
    <n v="21"/>
    <n v="49.21"/>
    <n v="11"/>
    <x v="2362"/>
    <d v="2003-04-16T00:00:00"/>
    <s v="Shipped"/>
    <n v="2"/>
    <n v="4"/>
    <x v="0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7"/>
    <n v="46"/>
    <n v="69.12"/>
    <n v="4"/>
    <x v="2363"/>
    <d v="2003-06-03T00:00:00"/>
    <s v="Shipped"/>
    <n v="2"/>
    <n v="6"/>
    <x v="0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s v="Medium"/>
  </r>
  <r>
    <n v="10142"/>
    <n v="42"/>
    <n v="49.79"/>
    <n v="14"/>
    <x v="2364"/>
    <d v="2003-08-08T00:00:00"/>
    <s v="Shipped"/>
    <n v="3"/>
    <n v="8"/>
    <x v="0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31"/>
    <n v="57.41"/>
    <n v="13"/>
    <x v="2365"/>
    <d v="2003-09-28T00:00:00"/>
    <s v="Shipped"/>
    <n v="3"/>
    <n v="9"/>
    <x v="0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Small"/>
  </r>
  <r>
    <n v="10165"/>
    <n v="38"/>
    <n v="66.78"/>
    <n v="5"/>
    <x v="2366"/>
    <d v="2003-10-22T00:00:00"/>
    <s v="Shipped"/>
    <n v="4"/>
    <n v="10"/>
    <x v="0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76"/>
    <n v="38"/>
    <n v="64.44"/>
    <n v="4"/>
    <x v="2367"/>
    <d v="2003-11-06T00:00:00"/>
    <s v="Shipped"/>
    <n v="4"/>
    <n v="11"/>
    <x v="0"/>
    <x v="6"/>
    <n v="58"/>
    <s v="S50_1514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85"/>
    <n v="20"/>
    <n v="48.62"/>
    <n v="15"/>
    <x v="2368"/>
    <d v="2003-11-14T00:00:00"/>
    <s v="Shipped"/>
    <n v="4"/>
    <n v="11"/>
    <x v="0"/>
    <x v="6"/>
    <n v="58"/>
    <s v="S50_1514"/>
    <s v="Mini Creations Ltd."/>
    <n v="5085559555"/>
    <s v="4575 Hillside Dr."/>
    <m/>
    <s v="New Bedford"/>
    <s v="MA"/>
    <n v="50553"/>
    <x v="0"/>
    <s v="NA"/>
    <s v="Tam"/>
    <s v="Wing C"/>
    <s v="Small"/>
  </r>
  <r>
    <n v="10196"/>
    <n v="46"/>
    <n v="62.09"/>
    <n v="7"/>
    <x v="2369"/>
    <d v="2003-11-26T00:00:00"/>
    <s v="Shipped"/>
    <n v="4"/>
    <n v="11"/>
    <x v="0"/>
    <x v="6"/>
    <n v="58"/>
    <s v="S50_1514"/>
    <s v="Super Scale Inc."/>
    <n v="2035559545"/>
    <s v="567 North Pendale Street"/>
    <m/>
    <s v="New Haven"/>
    <s v="CT"/>
    <n v="97823"/>
    <x v="0"/>
    <s v="NA"/>
    <s v="Murphy"/>
    <s v="Leslie"/>
    <s v="Small"/>
  </r>
  <r>
    <n v="10208"/>
    <n v="30"/>
    <n v="65.61"/>
    <n v="15"/>
    <x v="2370"/>
    <d v="2004-01-02T00:00:00"/>
    <s v="Shipped"/>
    <n v="1"/>
    <n v="1"/>
    <x v="1"/>
    <x v="6"/>
    <n v="58"/>
    <s v="S50_1514"/>
    <s v="Saveley &amp; Henriot, Co."/>
    <s v="78.32.5555"/>
    <s v="2, rue du Commerce"/>
    <m/>
    <s v="Lyon"/>
    <m/>
    <n v="69004"/>
    <x v="1"/>
    <s v="EMEA"/>
    <s v="Saveley"/>
    <s v="Mary"/>
    <s v="Small"/>
  </r>
  <r>
    <n v="10220"/>
    <n v="30"/>
    <n v="68.540000000000006"/>
    <n v="4"/>
    <x v="2371"/>
    <d v="2004-02-12T00:00:00"/>
    <s v="Shipped"/>
    <n v="1"/>
    <n v="2"/>
    <x v="1"/>
    <x v="6"/>
    <n v="58"/>
    <s v="S50_1514"/>
    <s v="Clover Collections, Co."/>
    <s v="+353 1862 1555"/>
    <s v="25 Maiden Lane"/>
    <s v="Floor No. 4"/>
    <s v="Dublin"/>
    <m/>
    <n v="2"/>
    <x v="18"/>
    <s v="EMEA"/>
    <s v="Cassidy"/>
    <s v="Dean"/>
    <s v="Small"/>
  </r>
  <r>
    <n v="10230"/>
    <n v="43"/>
    <n v="52.14"/>
    <n v="2"/>
    <x v="2372"/>
    <d v="2004-03-15T00:00:00"/>
    <s v="Shipped"/>
    <n v="1"/>
    <n v="3"/>
    <x v="1"/>
    <x v="6"/>
    <n v="58"/>
    <s v="S50_1514"/>
    <s v="Blauer See Auto, Co."/>
    <s v="+49 69 66 90 2555"/>
    <s v="Lyonerstr. 34"/>
    <m/>
    <s v="Frankfurt"/>
    <m/>
    <n v="60528"/>
    <x v="16"/>
    <s v="EMEA"/>
    <s v="Keitel"/>
    <s v="Roland"/>
    <s v="Small"/>
  </r>
  <r>
    <n v="10247"/>
    <n v="49"/>
    <n v="63.85"/>
    <n v="4"/>
    <x v="2373"/>
    <d v="2004-05-05T00:00:00"/>
    <s v="Shipped"/>
    <n v="2"/>
    <n v="5"/>
    <x v="1"/>
    <x v="6"/>
    <n v="58"/>
    <s v="S50_1514"/>
    <s v="Suominen Souveniers"/>
    <s v="+358 9 8045 555"/>
    <s v="Software Engineering Center, SEC Oy"/>
    <m/>
    <s v="Espoo"/>
    <m/>
    <s v="FIN-02271"/>
    <x v="4"/>
    <s v="EMEA"/>
    <s v="Suominen"/>
    <s v="Kalle"/>
    <s v="Medium"/>
  </r>
  <r>
    <n v="10272"/>
    <n v="43"/>
    <n v="56.82"/>
    <n v="4"/>
    <x v="2374"/>
    <d v="2004-07-20T00:00:00"/>
    <s v="Shipped"/>
    <n v="3"/>
    <n v="7"/>
    <x v="1"/>
    <x v="6"/>
    <n v="58"/>
    <s v="S50_1514"/>
    <s v="Diecast Classics Inc."/>
    <n v="2155551555"/>
    <s v="7586 Pompton St."/>
    <m/>
    <s v="Allentown"/>
    <s v="PA"/>
    <n v="70267"/>
    <x v="0"/>
    <s v="NA"/>
    <s v="Yu"/>
    <s v="Kyung"/>
    <s v="Small"/>
  </r>
  <r>
    <n v="10282"/>
    <n v="37"/>
    <n v="66.78"/>
    <n v="7"/>
    <x v="2375"/>
    <d v="2004-08-20T00:00:00"/>
    <s v="Shipped"/>
    <n v="3"/>
    <n v="8"/>
    <x v="1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292"/>
    <n v="35"/>
    <n v="55.07"/>
    <n v="1"/>
    <x v="2376"/>
    <d v="2004-09-08T00:00:00"/>
    <s v="Shipped"/>
    <n v="3"/>
    <n v="9"/>
    <x v="1"/>
    <x v="6"/>
    <n v="58"/>
    <s v="S50_1514"/>
    <s v="Land of Toys Inc."/>
    <n v="2125557818"/>
    <s v="897 Long Airport Avenue"/>
    <m/>
    <s v="NYC"/>
    <s v="NY"/>
    <n v="10022"/>
    <x v="0"/>
    <s v="NA"/>
    <s v="Yu"/>
    <s v="Kwai"/>
    <s v="Small"/>
  </r>
  <r>
    <n v="10306"/>
    <n v="34"/>
    <n v="60.34"/>
    <n v="15"/>
    <x v="2377"/>
    <d v="2004-10-14T00:00:00"/>
    <s v="Shipped"/>
    <n v="4"/>
    <n v="10"/>
    <x v="1"/>
    <x v="6"/>
    <n v="58"/>
    <s v="S50_1514"/>
    <s v="AV Stores, Co."/>
    <s v="(171) 555-1555"/>
    <s v="Fauntleroy Circus"/>
    <m/>
    <s v="Manchester"/>
    <m/>
    <s v="EC2 5NT"/>
    <x v="6"/>
    <s v="EMEA"/>
    <s v="Ashworth"/>
    <s v="Victoria"/>
    <s v="Small"/>
  </r>
  <r>
    <n v="10314"/>
    <n v="38"/>
    <n v="61.51"/>
    <n v="7"/>
    <x v="2378"/>
    <d v="2004-10-22T00:00:00"/>
    <s v="Shipped"/>
    <n v="4"/>
    <n v="10"/>
    <x v="1"/>
    <x v="6"/>
    <n v="58"/>
    <s v="S50_1514"/>
    <s v="Heintze Collectables"/>
    <s v="86 21 3555"/>
    <s v="Smagsloget 45"/>
    <m/>
    <s v="Aaarhus"/>
    <m/>
    <n v="8200"/>
    <x v="13"/>
    <s v="EMEA"/>
    <s v="Ibsen"/>
    <s v="Palle"/>
    <s v="Small"/>
  </r>
  <r>
    <n v="10325"/>
    <n v="44"/>
    <n v="100"/>
    <n v="7"/>
    <x v="2379"/>
    <d v="2004-11-05T00:00:00"/>
    <s v="Shipped"/>
    <n v="4"/>
    <n v="11"/>
    <x v="1"/>
    <x v="6"/>
    <n v="58"/>
    <s v="S50_1514"/>
    <s v="Baane Mini Imports"/>
    <s v="07-98 9555"/>
    <s v="Erling Skakkes gate 78"/>
    <m/>
    <s v="Stavern"/>
    <m/>
    <n v="4110"/>
    <x v="2"/>
    <s v="EMEA"/>
    <s v="Bergulfsen"/>
    <s v="Jonas"/>
    <s v="Medium"/>
  </r>
  <r>
    <n v="10337"/>
    <n v="21"/>
    <n v="100"/>
    <n v="6"/>
    <x v="2380"/>
    <d v="2004-11-21T00:00:00"/>
    <s v="Shipped"/>
    <n v="4"/>
    <n v="11"/>
    <x v="1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44"/>
    <n v="100"/>
    <n v="17"/>
    <x v="2381"/>
    <d v="2004-12-02T00:00:00"/>
    <s v="Shipped"/>
    <n v="4"/>
    <n v="12"/>
    <x v="1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Medium"/>
  </r>
  <r>
    <n v="10359"/>
    <n v="25"/>
    <n v="64.930000000000007"/>
    <n v="4"/>
    <x v="2382"/>
    <d v="2004-12-15T00:00:00"/>
    <s v="Shipped"/>
    <n v="4"/>
    <n v="12"/>
    <x v="1"/>
    <x v="6"/>
    <n v="58"/>
    <s v="S50_1514"/>
    <s v="Reims Collectables"/>
    <s v="26.47.1555"/>
    <s v="59 rue de l'Abbaye"/>
    <m/>
    <s v="Reims"/>
    <m/>
    <n v="51100"/>
    <x v="1"/>
    <s v="EMEA"/>
    <s v="Henriot"/>
    <s v="Paul"/>
    <s v="Small"/>
  </r>
  <r>
    <n v="10372"/>
    <n v="24"/>
    <n v="58.58"/>
    <n v="9"/>
    <x v="2383"/>
    <d v="2005-01-26T00:00:00"/>
    <s v="Shipped"/>
    <n v="1"/>
    <n v="1"/>
    <x v="2"/>
    <x v="6"/>
    <n v="58"/>
    <s v="S50_1514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83"/>
    <n v="38"/>
    <n v="60.06"/>
    <n v="10"/>
    <x v="2384"/>
    <d v="2005-02-22T00:00:00"/>
    <s v="Shipped"/>
    <n v="1"/>
    <n v="2"/>
    <x v="2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s v="Small"/>
  </r>
  <r>
    <n v="10395"/>
    <n v="45"/>
    <n v="100"/>
    <n v="3"/>
    <x v="2385"/>
    <d v="2005-03-17T00:00:00"/>
    <s v="Shipped"/>
    <n v="1"/>
    <n v="3"/>
    <x v="2"/>
    <x v="6"/>
    <n v="58"/>
    <s v="S50_1514"/>
    <s v="Lyon Souveniers"/>
    <s v="+33 1 46 62 7555"/>
    <s v="27 rue du Colonel Pierre Avia"/>
    <m/>
    <s v="Paris"/>
    <m/>
    <n v="75508"/>
    <x v="1"/>
    <s v="EMEA"/>
    <s v="Da Cunha"/>
    <s v="Daniel"/>
    <s v="Large"/>
  </r>
  <r>
    <n v="10413"/>
    <n v="51"/>
    <n v="63.85"/>
    <n v="4"/>
    <x v="2386"/>
    <d v="2005-05-05T00:00:00"/>
    <s v="Shipped"/>
    <n v="2"/>
    <n v="5"/>
    <x v="2"/>
    <x v="6"/>
    <n v="58"/>
    <s v="S50_1514"/>
    <s v="Gift Depot Inc."/>
    <n v="2035552570"/>
    <s v="25593 South Bay Ln."/>
    <m/>
    <s v="Bridgewater"/>
    <s v="CT"/>
    <n v="97562"/>
    <x v="0"/>
    <s v="NA"/>
    <s v="King"/>
    <s v="Julie"/>
    <s v="Medium"/>
  </r>
  <r>
    <n v="10108"/>
    <n v="34"/>
    <n v="82.99"/>
    <n v="14"/>
    <x v="2387"/>
    <d v="2003-03-03T00:00:00"/>
    <s v="Shipped"/>
    <n v="1"/>
    <n v="3"/>
    <x v="0"/>
    <x v="0"/>
    <n v="81"/>
    <s v="S50_4713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121"/>
    <n v="44"/>
    <n v="74.849999999999994"/>
    <n v="1"/>
    <x v="2388"/>
    <d v="2003-05-07T00:00:00"/>
    <s v="Shipped"/>
    <n v="2"/>
    <n v="5"/>
    <x v="0"/>
    <x v="0"/>
    <n v="81"/>
    <s v="S50_4713"/>
    <s v="Reims Collectables"/>
    <s v="26.47.1555"/>
    <s v="59 rue de l'Abbaye"/>
    <m/>
    <s v="Reims"/>
    <m/>
    <n v="51100"/>
    <x v="1"/>
    <s v="EMEA"/>
    <s v="Henriot"/>
    <s v="Paul"/>
    <s v="Medium"/>
  </r>
  <r>
    <n v="10135"/>
    <n v="44"/>
    <n v="96"/>
    <n v="15"/>
    <x v="2389"/>
    <d v="2003-07-02T00:00:00"/>
    <s v="Shipped"/>
    <n v="3"/>
    <n v="7"/>
    <x v="0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45"/>
    <n v="38"/>
    <n v="81.36"/>
    <n v="2"/>
    <x v="2390"/>
    <d v="2003-08-25T00:00:00"/>
    <s v="Shipped"/>
    <n v="3"/>
    <n v="8"/>
    <x v="0"/>
    <x v="0"/>
    <n v="81"/>
    <s v="S50_4713"/>
    <s v="Toys4GrownUps.com"/>
    <n v="6265557265"/>
    <s v="78934 Hillside Dr."/>
    <m/>
    <s v="Pasadena"/>
    <s v="CA"/>
    <n v="90003"/>
    <x v="0"/>
    <s v="NA"/>
    <s v="Young"/>
    <s v="Julie"/>
    <s v="Medium"/>
  </r>
  <r>
    <n v="10159"/>
    <n v="31"/>
    <n v="71.599999999999994"/>
    <n v="10"/>
    <x v="2391"/>
    <d v="2003-10-10T00:00:00"/>
    <s v="Shipped"/>
    <n v="4"/>
    <n v="10"/>
    <x v="0"/>
    <x v="0"/>
    <n v="81"/>
    <s v="S50_4713"/>
    <s v="Corporate Gift Ideas Co."/>
    <n v="6505551386"/>
    <s v="7734 Strong St."/>
    <m/>
    <s v="San Francisco"/>
    <s v="CA"/>
    <m/>
    <x v="0"/>
    <s v="NA"/>
    <s v="Brown"/>
    <s v="Julie"/>
    <s v="Small"/>
  </r>
  <r>
    <n v="10169"/>
    <n v="48"/>
    <n v="80.55"/>
    <n v="10"/>
    <x v="2392"/>
    <d v="2003-11-04T00:00:00"/>
    <s v="Shipped"/>
    <n v="4"/>
    <n v="11"/>
    <x v="0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s v="Medium"/>
  </r>
  <r>
    <n v="10180"/>
    <n v="21"/>
    <n v="93.56"/>
    <n v="5"/>
    <x v="2393"/>
    <d v="2003-11-11T00:00:00"/>
    <s v="Shipped"/>
    <n v="4"/>
    <n v="11"/>
    <x v="0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s v="Small"/>
  </r>
  <r>
    <n v="10190"/>
    <n v="40"/>
    <n v="66.72"/>
    <n v="2"/>
    <x v="2394"/>
    <d v="2003-11-19T00:00:00"/>
    <s v="Shipped"/>
    <n v="4"/>
    <n v="11"/>
    <x v="0"/>
    <x v="0"/>
    <n v="81"/>
    <s v="S50_4713"/>
    <s v="Euro Shopping Channel"/>
    <s v="(91) 555 94 44"/>
    <s v="C/ Moralzarzal, 86"/>
    <m/>
    <s v="Madrid"/>
    <m/>
    <n v="28034"/>
    <x v="7"/>
    <s v="EMEA"/>
    <s v="Freyre"/>
    <s v="Diego"/>
    <s v="Small"/>
  </r>
  <r>
    <n v="10211"/>
    <n v="40"/>
    <n v="80.55"/>
    <n v="10"/>
    <x v="2395"/>
    <d v="2004-01-15T00:00:00"/>
    <s v="Shipped"/>
    <n v="1"/>
    <n v="1"/>
    <x v="1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s v="Medium"/>
  </r>
  <r>
    <n v="10224"/>
    <n v="50"/>
    <n v="77.290000000000006"/>
    <n v="3"/>
    <x v="2396"/>
    <d v="2004-02-21T00:00:00"/>
    <s v="Shipped"/>
    <n v="1"/>
    <n v="2"/>
    <x v="1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s v="Medium"/>
  </r>
  <r>
    <n v="10237"/>
    <n v="20"/>
    <n v="68.34"/>
    <n v="3"/>
    <x v="2397"/>
    <d v="2004-04-05T00:00:00"/>
    <s v="Shipped"/>
    <n v="2"/>
    <n v="4"/>
    <x v="1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s v="Small"/>
  </r>
  <r>
    <n v="10252"/>
    <n v="48"/>
    <n v="72.41"/>
    <n v="7"/>
    <x v="2398"/>
    <d v="2004-05-26T00:00:00"/>
    <s v="Shipped"/>
    <n v="2"/>
    <n v="5"/>
    <x v="1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s v="Medium"/>
  </r>
  <r>
    <n v="10264"/>
    <n v="47"/>
    <n v="89.5"/>
    <n v="5"/>
    <x v="2399"/>
    <d v="2004-06-30T00:00:00"/>
    <s v="Shipped"/>
    <n v="2"/>
    <n v="6"/>
    <x v="1"/>
    <x v="0"/>
    <n v="81"/>
    <s v="S50_4713"/>
    <s v="Gifts4AllAges.com"/>
    <n v="6175559555"/>
    <s v="8616 Spinnaker Dr."/>
    <m/>
    <s v="Boston"/>
    <s v="MA"/>
    <n v="51003"/>
    <x v="0"/>
    <s v="NA"/>
    <s v="Yoshido"/>
    <s v="Juri"/>
    <s v="Medium"/>
  </r>
  <r>
    <n v="10276"/>
    <n v="21"/>
    <n v="70.78"/>
    <n v="11"/>
    <x v="2400"/>
    <d v="2004-08-02T00:00:00"/>
    <s v="Shipped"/>
    <n v="3"/>
    <n v="8"/>
    <x v="1"/>
    <x v="0"/>
    <n v="81"/>
    <s v="S50_4713"/>
    <s v="Online Mini Collectables"/>
    <n v="6175557555"/>
    <s v="7635 Spinnaker Dr."/>
    <m/>
    <s v="Brickhaven"/>
    <s v="MA"/>
    <n v="58339"/>
    <x v="0"/>
    <s v="NA"/>
    <s v="Barajas"/>
    <s v="Miguel"/>
    <s v="Small"/>
  </r>
  <r>
    <n v="10285"/>
    <n v="39"/>
    <n v="78.92"/>
    <n v="2"/>
    <x v="2401"/>
    <d v="2004-08-27T00:00:00"/>
    <s v="Shipped"/>
    <n v="3"/>
    <n v="8"/>
    <x v="1"/>
    <x v="0"/>
    <n v="81"/>
    <s v="S50_4713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9"/>
    <n v="44"/>
    <n v="80.55"/>
    <n v="5"/>
    <x v="2402"/>
    <d v="2004-09-30T00:00:00"/>
    <s v="Shipped"/>
    <n v="3"/>
    <n v="9"/>
    <x v="1"/>
    <x v="0"/>
    <n v="81"/>
    <s v="S50_4713"/>
    <s v="Toys of Finland, Co."/>
    <s v="90-224 8555"/>
    <s v="Keskuskatu 45"/>
    <m/>
    <s v="Helsinki"/>
    <m/>
    <n v="21240"/>
    <x v="4"/>
    <s v="EMEA"/>
    <s v="Karttunen"/>
    <s v="Matti"/>
    <s v="Medium"/>
  </r>
  <r>
    <n v="10309"/>
    <n v="28"/>
    <n v="88.68"/>
    <n v="1"/>
    <x v="2403"/>
    <d v="2004-10-15T00:00:00"/>
    <s v="Shipped"/>
    <n v="4"/>
    <n v="10"/>
    <x v="1"/>
    <x v="0"/>
    <n v="81"/>
    <s v="S50_4713"/>
    <s v="Baane Mini Imports"/>
    <s v="07-98 9555"/>
    <s v="Erling Skakkes gate 78"/>
    <m/>
    <s v="Stavern"/>
    <m/>
    <n v="4110"/>
    <x v="2"/>
    <s v="EMEA"/>
    <s v="Bergulfsen"/>
    <s v="Jonas"/>
    <s v="Small"/>
  </r>
  <r>
    <n v="10319"/>
    <n v="45"/>
    <n v="77.290000000000006"/>
    <n v="6"/>
    <x v="2404"/>
    <d v="2004-11-03T00:00:00"/>
    <s v="Shipped"/>
    <n v="4"/>
    <n v="11"/>
    <x v="1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s v="Medium"/>
  </r>
  <r>
    <n v="10331"/>
    <n v="20"/>
    <n v="100"/>
    <n v="5"/>
    <x v="2405"/>
    <d v="2004-11-17T00:00:00"/>
    <s v="Shipped"/>
    <n v="4"/>
    <n v="11"/>
    <x v="1"/>
    <x v="0"/>
    <n v="81"/>
    <s v="S50_4713"/>
    <s v="Motor Mint Distributors Inc."/>
    <n v="2155559857"/>
    <s v="11328 Douglas Av."/>
    <m/>
    <s v="Philadelphia"/>
    <s v="PA"/>
    <n v="71270"/>
    <x v="0"/>
    <s v="NA"/>
    <s v="Hernandez"/>
    <s v="Rosa"/>
    <s v="Medium"/>
  </r>
  <r>
    <n v="10341"/>
    <n v="38"/>
    <n v="100"/>
    <n v="3"/>
    <x v="2406"/>
    <d v="2004-11-24T00:00:00"/>
    <s v="Shipped"/>
    <n v="4"/>
    <n v="11"/>
    <x v="1"/>
    <x v="0"/>
    <n v="81"/>
    <s v="S50_4713"/>
    <s v="Salzburg Collectables"/>
    <s v="6562-9555"/>
    <s v="Geislweg 14"/>
    <m/>
    <s v="Salzburg"/>
    <m/>
    <n v="5020"/>
    <x v="5"/>
    <s v="EMEA"/>
    <s v="Pipps"/>
    <s v="Georg"/>
    <s v="Medium"/>
  </r>
  <r>
    <n v="10356"/>
    <n v="26"/>
    <n v="100"/>
    <n v="4"/>
    <x v="2407"/>
    <d v="2004-12-09T00:00:00"/>
    <s v="Shipped"/>
    <n v="4"/>
    <n v="12"/>
    <x v="1"/>
    <x v="0"/>
    <n v="81"/>
    <s v="S50_4713"/>
    <s v="Lyon Souveniers"/>
    <s v="+33 1 46 62 7555"/>
    <s v="27 rue du Colonel Pierre Avia"/>
    <m/>
    <s v="Paris"/>
    <m/>
    <n v="75508"/>
    <x v="1"/>
    <s v="EMEA"/>
    <s v="Da Cunha"/>
    <s v="Daniel"/>
    <s v="Medium"/>
  </r>
  <r>
    <n v="10365"/>
    <n v="44"/>
    <n v="100"/>
    <n v="2"/>
    <x v="2408"/>
    <d v="2005-01-07T00:00:00"/>
    <s v="Shipped"/>
    <n v="1"/>
    <n v="1"/>
    <x v="2"/>
    <x v="0"/>
    <n v="81"/>
    <s v="S50_4713"/>
    <s v="Mini Creations Ltd."/>
    <n v="5085559555"/>
    <s v="4575 Hillside Dr."/>
    <m/>
    <s v="New Bedford"/>
    <s v="MA"/>
    <n v="50553"/>
    <x v="0"/>
    <s v="NA"/>
    <s v="Tam"/>
    <s v="Wing C"/>
    <s v="Medium"/>
  </r>
  <r>
    <n v="10375"/>
    <n v="49"/>
    <n v="100"/>
    <n v="8"/>
    <x v="2409"/>
    <d v="2005-02-03T00:00:00"/>
    <s v="Shipped"/>
    <n v="1"/>
    <n v="2"/>
    <x v="2"/>
    <x v="0"/>
    <n v="81"/>
    <s v="S50_4713"/>
    <s v="La Rochelle Gifts"/>
    <s v="40.67.8555"/>
    <s v="67, rue des Cinquante Otages"/>
    <m/>
    <s v="Nantes"/>
    <m/>
    <n v="44000"/>
    <x v="1"/>
    <s v="EMEA"/>
    <s v="Labrune"/>
    <s v="Janine"/>
    <s v="Medium"/>
  </r>
  <r>
    <n v="10390"/>
    <n v="22"/>
    <n v="100"/>
    <n v="13"/>
    <x v="2410"/>
    <d v="2005-03-04T00:00:00"/>
    <s v="Shipped"/>
    <n v="1"/>
    <n v="3"/>
    <x v="2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403"/>
    <n v="31"/>
    <n v="68.34"/>
    <n v="3"/>
    <x v="2411"/>
    <d v="2005-04-08T00:00:00"/>
    <s v="Shipped"/>
    <n v="2"/>
    <n v="4"/>
    <x v="2"/>
    <x v="0"/>
    <n v="81"/>
    <s v="S50_4713"/>
    <s v="UK Collectables, Ltd."/>
    <s v="(171) 555-2282"/>
    <s v="Berkeley Gardens 12  Brewery"/>
    <m/>
    <s v="Liverpool"/>
    <m/>
    <s v="WX1 6LT"/>
    <x v="6"/>
    <s v="EMEA"/>
    <s v="Devon"/>
    <s v="Elizabeth"/>
    <s v="Small"/>
  </r>
  <r>
    <n v="10105"/>
    <n v="41"/>
    <n v="70.67"/>
    <n v="5"/>
    <x v="2412"/>
    <d v="2003-02-11T00:00:00"/>
    <s v="Shipped"/>
    <n v="1"/>
    <n v="2"/>
    <x v="0"/>
    <x v="5"/>
    <n v="66"/>
    <s v="S700_1138"/>
    <s v="Danish Wholesale Imports"/>
    <s v="31 12 3555"/>
    <s v="Vinb'ltet 34"/>
    <m/>
    <s v="Kobenhavn"/>
    <m/>
    <n v="1734"/>
    <x v="13"/>
    <s v="EMEA"/>
    <s v="Petersen"/>
    <s v="Jytte"/>
    <s v="Small"/>
  </r>
  <r>
    <n v="10119"/>
    <n v="25"/>
    <n v="76.67"/>
    <n v="14"/>
    <x v="2413"/>
    <d v="2003-04-28T00:00:00"/>
    <s v="Shipped"/>
    <n v="2"/>
    <n v="4"/>
    <x v="0"/>
    <x v="5"/>
    <n v="66"/>
    <s v="S700_1138"/>
    <s v="Salzburg Collectables"/>
    <s v="6562-9555"/>
    <s v="Geislweg 14"/>
    <m/>
    <s v="Salzburg"/>
    <m/>
    <n v="5020"/>
    <x v="5"/>
    <s v="EMEA"/>
    <s v="Pipps"/>
    <s v="Georg"/>
    <s v="Small"/>
  </r>
  <r>
    <n v="10129"/>
    <n v="31"/>
    <n v="60"/>
    <n v="5"/>
    <x v="2414"/>
    <d v="2003-06-12T00:00:00"/>
    <s v="Shipped"/>
    <n v="2"/>
    <n v="6"/>
    <x v="0"/>
    <x v="5"/>
    <n v="66"/>
    <s v="S700_1138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41"/>
    <n v="64"/>
    <n v="2"/>
    <x v="1533"/>
    <d v="2003-08-08T00:00:00"/>
    <s v="Shipped"/>
    <n v="3"/>
    <n v="8"/>
    <x v="0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43"/>
    <n v="64.67"/>
    <n v="1"/>
    <x v="2415"/>
    <d v="2003-09-28T00:00:00"/>
    <s v="Shipped"/>
    <n v="3"/>
    <n v="9"/>
    <x v="0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s v="Small"/>
  </r>
  <r>
    <n v="10167"/>
    <n v="43"/>
    <n v="75.34"/>
    <n v="12"/>
    <x v="2416"/>
    <d v="2003-10-23T00:00:00"/>
    <s v="Cancelled"/>
    <n v="4"/>
    <n v="10"/>
    <x v="0"/>
    <x v="5"/>
    <n v="66"/>
    <s v="S700_1138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24"/>
    <n v="76"/>
    <n v="3"/>
    <x v="2417"/>
    <d v="2003-11-07T00:00:00"/>
    <s v="Shipped"/>
    <n v="4"/>
    <n v="11"/>
    <x v="0"/>
    <x v="5"/>
    <n v="66"/>
    <s v="S700_1138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1"/>
    <n v="54"/>
    <n v="3"/>
    <x v="2418"/>
    <d v="2003-11-14T00:00:00"/>
    <s v="Shipped"/>
    <n v="4"/>
    <n v="11"/>
    <x v="0"/>
    <x v="5"/>
    <n v="66"/>
    <s v="S700_1138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23"/>
    <n v="64.67"/>
    <n v="9"/>
    <x v="2419"/>
    <d v="2003-11-26T00:00:00"/>
    <s v="Shipped"/>
    <n v="4"/>
    <n v="11"/>
    <x v="0"/>
    <x v="5"/>
    <n v="66"/>
    <s v="S700_1138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38"/>
    <n v="74.67"/>
    <n v="3"/>
    <x v="2420"/>
    <d v="2004-01-02T00:00:00"/>
    <s v="Shipped"/>
    <n v="1"/>
    <n v="1"/>
    <x v="1"/>
    <x v="5"/>
    <n v="66"/>
    <s v="S700_1138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1"/>
    <n v="62.67"/>
    <n v="15"/>
    <x v="2421"/>
    <d v="2004-02-19T00:00:00"/>
    <s v="Shipped"/>
    <n v="1"/>
    <n v="2"/>
    <x v="1"/>
    <x v="5"/>
    <n v="66"/>
    <s v="S700_1138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3"/>
    <n v="36"/>
    <n v="70.67"/>
    <n v="3"/>
    <x v="2422"/>
    <d v="2004-03-29T00:00:00"/>
    <s v="Shipped"/>
    <n v="1"/>
    <n v="3"/>
    <x v="1"/>
    <x v="5"/>
    <n v="66"/>
    <s v="S700_1138"/>
    <s v="Tekni Collectables Inc."/>
    <n v="2015559350"/>
    <s v="7476 Moss Rd."/>
    <m/>
    <s v="Newark"/>
    <s v="NJ"/>
    <n v="94019"/>
    <x v="0"/>
    <s v="NA"/>
    <s v="Brown"/>
    <s v="William"/>
    <s v="Small"/>
  </r>
  <r>
    <n v="10248"/>
    <n v="36"/>
    <n v="71.34"/>
    <n v="6"/>
    <x v="2423"/>
    <d v="2004-05-07T00:00:00"/>
    <s v="Cancelled"/>
    <n v="2"/>
    <n v="5"/>
    <x v="1"/>
    <x v="5"/>
    <n v="66"/>
    <s v="S700_1138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34"/>
    <n v="62"/>
    <n v="4"/>
    <x v="2424"/>
    <d v="2004-06-17T00:00:00"/>
    <s v="Shipped"/>
    <n v="2"/>
    <n v="6"/>
    <x v="1"/>
    <x v="5"/>
    <n v="66"/>
    <s v="S700_1138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21"/>
    <n v="65.34"/>
    <n v="7"/>
    <x v="2425"/>
    <d v="2004-07-21T00:00:00"/>
    <s v="Shipped"/>
    <n v="3"/>
    <n v="7"/>
    <x v="1"/>
    <x v="5"/>
    <n v="66"/>
    <s v="S700_1138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5"/>
    <n v="78.67"/>
    <n v="9"/>
    <x v="2426"/>
    <d v="2004-08-20T00:00:00"/>
    <s v="Shipped"/>
    <n v="3"/>
    <n v="8"/>
    <x v="1"/>
    <x v="5"/>
    <n v="66"/>
    <s v="S700_1138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26"/>
    <n v="75.34"/>
    <n v="4"/>
    <x v="2427"/>
    <d v="2004-09-10T00:00:00"/>
    <s v="Shipped"/>
    <n v="3"/>
    <n v="9"/>
    <x v="1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s v="Small"/>
  </r>
  <r>
    <n v="10306"/>
    <n v="50"/>
    <n v="54"/>
    <n v="3"/>
    <x v="2428"/>
    <d v="2004-10-14T00:00:00"/>
    <s v="Shipped"/>
    <n v="4"/>
    <n v="10"/>
    <x v="1"/>
    <x v="5"/>
    <n v="66"/>
    <s v="S700_1138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41"/>
    <n v="62"/>
    <n v="2"/>
    <x v="2429"/>
    <d v="2004-10-29T00:00:00"/>
    <s v="Shipped"/>
    <n v="4"/>
    <n v="10"/>
    <x v="1"/>
    <x v="5"/>
    <n v="66"/>
    <s v="S700_1138"/>
    <s v="La Rochelle Gifts"/>
    <s v="40.67.8555"/>
    <s v="67, rue des Cinquante Otages"/>
    <m/>
    <s v="Nantes"/>
    <m/>
    <n v="44000"/>
    <x v="1"/>
    <s v="EMEA"/>
    <s v="Labrune"/>
    <s v="Janine"/>
    <s v="Small"/>
  </r>
  <r>
    <n v="10326"/>
    <n v="39"/>
    <n v="60"/>
    <n v="1"/>
    <x v="2430"/>
    <d v="2004-11-09T00:00:00"/>
    <s v="Shipped"/>
    <n v="4"/>
    <n v="11"/>
    <x v="1"/>
    <x v="5"/>
    <n v="66"/>
    <s v="S700_1138"/>
    <s v="Volvo Model Replicas, Co"/>
    <s v="0921-12 3555"/>
    <s v="Berguvsv„gen  8"/>
    <m/>
    <s v="Lule"/>
    <m/>
    <s v="S-958 22"/>
    <x v="8"/>
    <s v="EMEA"/>
    <s v="Berglund"/>
    <s v="Christina"/>
    <s v="Small"/>
  </r>
  <r>
    <n v="10339"/>
    <n v="22"/>
    <n v="100"/>
    <n v="5"/>
    <x v="2431"/>
    <d v="2004-11-23T00:00:00"/>
    <s v="Shipped"/>
    <n v="4"/>
    <n v="11"/>
    <x v="1"/>
    <x v="5"/>
    <n v="66"/>
    <s v="S700_1138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0"/>
    <n v="46"/>
    <n v="76.67"/>
    <n v="11"/>
    <x v="2432"/>
    <d v="2004-12-02T00:00:00"/>
    <s v="Shipped"/>
    <n v="4"/>
    <n v="12"/>
    <x v="1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s v="Medium"/>
  </r>
  <r>
    <n v="10373"/>
    <n v="44"/>
    <n v="100"/>
    <n v="14"/>
    <x v="2433"/>
    <d v="2005-01-31T00:00:00"/>
    <s v="Shipped"/>
    <n v="1"/>
    <n v="1"/>
    <x v="2"/>
    <x v="5"/>
    <n v="66"/>
    <s v="S700_1138"/>
    <s v="Oulu Toy Supplies, Inc."/>
    <s v="981-443655"/>
    <s v="Torikatu 38"/>
    <m/>
    <s v="Oulu"/>
    <m/>
    <n v="90110"/>
    <x v="4"/>
    <s v="EMEA"/>
    <s v="Koskitalo"/>
    <s v="Pirkko"/>
    <s v="Medium"/>
  </r>
  <r>
    <n v="10385"/>
    <n v="25"/>
    <n v="77.34"/>
    <n v="1"/>
    <x v="2434"/>
    <d v="2005-02-28T00:00:00"/>
    <s v="Shipped"/>
    <n v="1"/>
    <n v="2"/>
    <x v="2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396"/>
    <n v="39"/>
    <n v="66.67"/>
    <n v="1"/>
    <x v="2435"/>
    <d v="2005-03-23T00:00:00"/>
    <s v="Shipped"/>
    <n v="1"/>
    <n v="3"/>
    <x v="2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4"/>
    <n v="37"/>
    <n v="71.34"/>
    <n v="6"/>
    <x v="2436"/>
    <d v="2005-05-06T00:00:00"/>
    <s v="On Hold"/>
    <n v="2"/>
    <n v="5"/>
    <x v="2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s v="Small"/>
  </r>
  <r>
    <n v="10106"/>
    <n v="31"/>
    <n v="100"/>
    <n v="7"/>
    <x v="2437"/>
    <d v="2003-02-17T00:00:00"/>
    <s v="Shipped"/>
    <n v="1"/>
    <n v="2"/>
    <x v="0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47"/>
    <n v="82.21"/>
    <n v="13"/>
    <x v="2438"/>
    <d v="2003-04-29T00:00:00"/>
    <s v="Shipped"/>
    <n v="2"/>
    <n v="4"/>
    <x v="0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4"/>
    <n v="77.64"/>
    <n v="8"/>
    <x v="2439"/>
    <d v="2003-06-27T00:00:00"/>
    <s v="Shipped"/>
    <n v="2"/>
    <n v="6"/>
    <x v="0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s v="Small"/>
  </r>
  <r>
    <n v="10143"/>
    <n v="36"/>
    <n v="100"/>
    <n v="2"/>
    <x v="2440"/>
    <d v="2003-08-10T00:00:00"/>
    <s v="Shipped"/>
    <n v="3"/>
    <n v="8"/>
    <x v="0"/>
    <x v="4"/>
    <n v="91"/>
    <s v="S700_1691"/>
    <s v="Mini Creations Ltd."/>
    <n v="5085559555"/>
    <s v="4575 Hillside Dr."/>
    <m/>
    <s v="New Bedford"/>
    <s v="MA"/>
    <n v="50553"/>
    <x v="0"/>
    <s v="NA"/>
    <s v="Tam"/>
    <s v="Wing C"/>
    <s v="Medium"/>
  </r>
  <r>
    <n v="10156"/>
    <n v="48"/>
    <n v="100"/>
    <n v="2"/>
    <x v="2441"/>
    <d v="2003-10-08T00:00:00"/>
    <s v="Shipped"/>
    <n v="4"/>
    <n v="10"/>
    <x v="0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s v="Medium"/>
  </r>
  <r>
    <n v="10168"/>
    <n v="28"/>
    <n v="98.65"/>
    <n v="14"/>
    <x v="1751"/>
    <d v="2003-10-28T00:00:00"/>
    <s v="Shipped"/>
    <n v="4"/>
    <n v="10"/>
    <x v="0"/>
    <x v="4"/>
    <n v="91"/>
    <s v="S700_1691"/>
    <s v="Technics Stores Inc."/>
    <n v="6505556809"/>
    <s v="9408 Furth Circle"/>
    <m/>
    <s v="Burlingame"/>
    <s v="CA"/>
    <n v="94217"/>
    <x v="0"/>
    <s v="NA"/>
    <s v="Hirano"/>
    <s v="Juri"/>
    <s v="Small"/>
  </r>
  <r>
    <n v="10199"/>
    <n v="48"/>
    <n v="83.12"/>
    <n v="2"/>
    <x v="2442"/>
    <d v="2003-12-01T00:00:00"/>
    <s v="Shipped"/>
    <n v="4"/>
    <n v="12"/>
    <x v="0"/>
    <x v="4"/>
    <n v="91"/>
    <s v="S700_1691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10"/>
    <n v="21"/>
    <n v="78.55"/>
    <n v="12"/>
    <x v="2443"/>
    <d v="2004-01-12T00:00:00"/>
    <s v="Shipped"/>
    <n v="1"/>
    <n v="1"/>
    <x v="1"/>
    <x v="4"/>
    <n v="91"/>
    <s v="S700_1691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5"/>
    <n v="100"/>
    <n v="14"/>
    <x v="2444"/>
    <d v="2004-02-20T00:00:00"/>
    <s v="Shipped"/>
    <n v="1"/>
    <n v="2"/>
    <x v="1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25"/>
    <n v="100"/>
    <n v="8"/>
    <x v="2445"/>
    <d v="2004-04-02T00:00:00"/>
    <s v="Shipped"/>
    <n v="2"/>
    <n v="4"/>
    <x v="1"/>
    <x v="4"/>
    <n v="91"/>
    <s v="S700_1691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1"/>
    <n v="91.34"/>
    <n v="9"/>
    <x v="2446"/>
    <d v="2004-05-11T00:00:00"/>
    <s v="Shipped"/>
    <n v="2"/>
    <n v="5"/>
    <x v="1"/>
    <x v="4"/>
    <n v="91"/>
    <s v="S700_1691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40"/>
    <n v="84.03"/>
    <n v="4"/>
    <x v="2447"/>
    <d v="2004-06-24T00:00:00"/>
    <s v="Cancelled"/>
    <n v="2"/>
    <n v="6"/>
    <x v="1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s v="Medium"/>
  </r>
  <r>
    <n v="10275"/>
    <n v="32"/>
    <n v="89.51"/>
    <n v="14"/>
    <x v="2448"/>
    <d v="2004-07-23T00:00:00"/>
    <s v="Shipped"/>
    <n v="3"/>
    <n v="7"/>
    <x v="1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24"/>
    <n v="83.12"/>
    <n v="6"/>
    <x v="2449"/>
    <d v="2004-08-21T00:00:00"/>
    <s v="Shipped"/>
    <n v="3"/>
    <n v="8"/>
    <x v="1"/>
    <x v="4"/>
    <n v="91"/>
    <s v="S700_1691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42"/>
    <n v="100"/>
    <n v="2"/>
    <x v="2450"/>
    <d v="2004-09-15T00:00:00"/>
    <s v="Shipped"/>
    <n v="3"/>
    <n v="9"/>
    <x v="1"/>
    <x v="4"/>
    <n v="91"/>
    <s v="S700_1691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8"/>
    <n v="21"/>
    <n v="100"/>
    <n v="12"/>
    <x v="2451"/>
    <d v="2004-10-15T00:00:00"/>
    <s v="Shipped"/>
    <n v="4"/>
    <n v="10"/>
    <x v="1"/>
    <x v="4"/>
    <n v="91"/>
    <s v="S700_1691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34"/>
    <n v="82.21"/>
    <n v="4"/>
    <x v="2452"/>
    <d v="2004-11-01T00:00:00"/>
    <s v="Shipped"/>
    <n v="4"/>
    <n v="11"/>
    <x v="1"/>
    <x v="4"/>
    <n v="91"/>
    <s v="S700_1691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27"/>
    <n v="100"/>
    <n v="8"/>
    <x v="2453"/>
    <d v="2004-11-12T00:00:00"/>
    <s v="Shipped"/>
    <n v="4"/>
    <n v="11"/>
    <x v="1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s v="Small"/>
  </r>
  <r>
    <n v="10340"/>
    <n v="30"/>
    <n v="88.6"/>
    <n v="5"/>
    <x v="2454"/>
    <d v="2004-11-24T00:00:00"/>
    <s v="Shipped"/>
    <n v="4"/>
    <n v="11"/>
    <x v="1"/>
    <x v="4"/>
    <n v="91"/>
    <s v="S700_1691"/>
    <s v="Enaco Distributors"/>
    <s v="(93) 203 4555"/>
    <s v="Rambla de Catalu¤a, 23"/>
    <m/>
    <s v="Barcelona"/>
    <m/>
    <n v="8022"/>
    <x v="7"/>
    <s v="EMEA"/>
    <s v="Saavedra"/>
    <s v="Eduardo"/>
    <s v="Small"/>
  </r>
  <r>
    <n v="10353"/>
    <n v="39"/>
    <n v="100"/>
    <n v="9"/>
    <x v="2455"/>
    <d v="2004-12-04T00:00:00"/>
    <s v="Shipped"/>
    <n v="4"/>
    <n v="12"/>
    <x v="1"/>
    <x v="4"/>
    <n v="91"/>
    <s v="S700_1691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20"/>
    <n v="60.54"/>
    <n v="4"/>
    <x v="2456"/>
    <d v="2004-12-17T00:00:00"/>
    <s v="Shipped"/>
    <n v="4"/>
    <n v="12"/>
    <x v="1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7"/>
    <n v="81.87"/>
    <n v="6"/>
    <x v="2457"/>
    <d v="2005-02-03T00:00:00"/>
    <s v="Shipped"/>
    <n v="1"/>
    <n v="2"/>
    <x v="2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s v="Medium"/>
  </r>
  <r>
    <n v="10388"/>
    <n v="46"/>
    <n v="100"/>
    <n v="2"/>
    <x v="2458"/>
    <d v="2005-03-03T00:00:00"/>
    <s v="Shipped"/>
    <n v="1"/>
    <n v="3"/>
    <x v="2"/>
    <x v="4"/>
    <n v="91"/>
    <s v="S700_1691"/>
    <s v="FunGiftIdeas.com"/>
    <n v="5085552555"/>
    <s v="1785 First Street"/>
    <m/>
    <s v="New Bedford"/>
    <s v="MA"/>
    <n v="50553"/>
    <x v="0"/>
    <s v="NA"/>
    <s v="Benitez"/>
    <s v="Violeta"/>
    <s v="Large"/>
  </r>
  <r>
    <n v="10398"/>
    <n v="47"/>
    <n v="87.69"/>
    <n v="6"/>
    <x v="2459"/>
    <d v="2005-03-30T00:00:00"/>
    <s v="Shipped"/>
    <n v="1"/>
    <n v="3"/>
    <x v="2"/>
    <x v="4"/>
    <n v="91"/>
    <s v="S700_1691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11"/>
    <n v="100"/>
    <n v="8"/>
    <x v="2460"/>
    <d v="2005-04-03T00:00:00"/>
    <s v="On Hold"/>
    <n v="2"/>
    <n v="4"/>
    <x v="2"/>
    <x v="4"/>
    <n v="91"/>
    <s v="S700_1691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23"/>
    <n v="91.34"/>
    <n v="9"/>
    <x v="2461"/>
    <d v="2005-05-10T00:00:00"/>
    <s v="Shipped"/>
    <n v="2"/>
    <n v="5"/>
    <x v="2"/>
    <x v="4"/>
    <n v="91"/>
    <s v="S700_1691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29"/>
    <n v="70.150000000000006"/>
    <n v="12"/>
    <x v="2462"/>
    <d v="2003-02-11T00:00:00"/>
    <s v="Shipped"/>
    <n v="1"/>
    <n v="2"/>
    <x v="0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38"/>
    <n v="79.680000000000007"/>
    <n v="6"/>
    <x v="2463"/>
    <d v="2003-04-16T00:00:00"/>
    <s v="Shipped"/>
    <n v="2"/>
    <n v="4"/>
    <x v="0"/>
    <x v="5"/>
    <n v="86"/>
    <s v="S700_1938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8"/>
    <n v="32"/>
    <n v="97"/>
    <n v="3"/>
    <x v="2464"/>
    <d v="2003-06-06T00:00:00"/>
    <s v="Shipped"/>
    <n v="2"/>
    <n v="6"/>
    <x v="0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s v="Medium"/>
  </r>
  <r>
    <n v="10142"/>
    <n v="43"/>
    <n v="84.01"/>
    <n v="9"/>
    <x v="2465"/>
    <d v="2003-08-08T00:00:00"/>
    <s v="Shipped"/>
    <n v="3"/>
    <n v="8"/>
    <x v="0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31"/>
    <n v="87.48"/>
    <n v="8"/>
    <x v="2466"/>
    <d v="2003-09-28T00:00:00"/>
    <s v="Shipped"/>
    <n v="3"/>
    <n v="9"/>
    <x v="0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s v="Small"/>
  </r>
  <r>
    <n v="10166"/>
    <n v="29"/>
    <n v="100"/>
    <n v="3"/>
    <x v="2467"/>
    <d v="2003-10-21T00:00:00"/>
    <s v="Shipped"/>
    <n v="4"/>
    <n v="10"/>
    <x v="0"/>
    <x v="5"/>
    <n v="86"/>
    <s v="S700_1938"/>
    <s v="FunGiftIdeas.com"/>
    <n v="5085552555"/>
    <s v="1785 First Street"/>
    <m/>
    <s v="New Bedford"/>
    <s v="MA"/>
    <n v="50553"/>
    <x v="0"/>
    <s v="NA"/>
    <s v="Benitez"/>
    <s v="Violeta"/>
    <s v="Medium"/>
  </r>
  <r>
    <n v="10177"/>
    <n v="31"/>
    <n v="88.34"/>
    <n v="10"/>
    <x v="2468"/>
    <d v="2003-11-07T00:00:00"/>
    <s v="Shipped"/>
    <n v="4"/>
    <n v="11"/>
    <x v="0"/>
    <x v="5"/>
    <n v="86"/>
    <s v="S700_1938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30"/>
    <n v="94.4"/>
    <n v="10"/>
    <x v="2296"/>
    <d v="2003-11-14T00:00:00"/>
    <s v="Shipped"/>
    <n v="4"/>
    <n v="11"/>
    <x v="0"/>
    <x v="5"/>
    <n v="86"/>
    <s v="S700_1938"/>
    <s v="Mini Creations Ltd."/>
    <n v="5085559555"/>
    <s v="4575 Hillside Dr."/>
    <m/>
    <s v="New Bedford"/>
    <s v="MA"/>
    <n v="50553"/>
    <x v="0"/>
    <s v="NA"/>
    <s v="Tam"/>
    <s v="Wing C"/>
    <s v="Small"/>
  </r>
  <r>
    <n v="10196"/>
    <n v="50"/>
    <n v="94.4"/>
    <n v="2"/>
    <x v="2469"/>
    <d v="2003-11-26T00:00:00"/>
    <s v="Shipped"/>
    <n v="4"/>
    <n v="11"/>
    <x v="0"/>
    <x v="5"/>
    <n v="86"/>
    <s v="S700_1938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08"/>
    <n v="40"/>
    <n v="80.55"/>
    <n v="10"/>
    <x v="2395"/>
    <d v="2004-01-02T00:00:00"/>
    <s v="Shipped"/>
    <n v="1"/>
    <n v="1"/>
    <x v="1"/>
    <x v="5"/>
    <n v="86"/>
    <s v="S700_1938"/>
    <s v="Saveley &amp; Henriot, Co."/>
    <s v="78.32.5555"/>
    <s v="2, rue du Commerce"/>
    <m/>
    <s v="Lyon"/>
    <m/>
    <n v="69004"/>
    <x v="1"/>
    <s v="EMEA"/>
    <s v="Saveley"/>
    <s v="Mary"/>
    <s v="Medium"/>
  </r>
  <r>
    <n v="10221"/>
    <n v="23"/>
    <n v="97"/>
    <n v="4"/>
    <x v="2470"/>
    <d v="2004-02-18T00:00:00"/>
    <s v="Shipped"/>
    <n v="1"/>
    <n v="2"/>
    <x v="1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s v="Small"/>
  </r>
  <r>
    <n v="10232"/>
    <n v="26"/>
    <n v="88.34"/>
    <n v="7"/>
    <x v="2471"/>
    <d v="2004-03-20T00:00:00"/>
    <s v="Shipped"/>
    <n v="1"/>
    <n v="3"/>
    <x v="1"/>
    <x v="5"/>
    <n v="86"/>
    <s v="S700_1938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40"/>
    <n v="100"/>
    <n v="13"/>
    <x v="2472"/>
    <d v="2004-05-07T00:00:00"/>
    <s v="Cancelled"/>
    <n v="2"/>
    <n v="5"/>
    <x v="1"/>
    <x v="5"/>
    <n v="86"/>
    <s v="S700_1938"/>
    <s v="Land of Toys Inc."/>
    <n v="2125557818"/>
    <s v="897 Long Airport Avenue"/>
    <m/>
    <s v="NYC"/>
    <s v="NY"/>
    <n v="10022"/>
    <x v="0"/>
    <s v="NA"/>
    <s v="Yu"/>
    <s v="Kwai"/>
    <s v="Medium"/>
  </r>
  <r>
    <n v="10273"/>
    <n v="21"/>
    <n v="100"/>
    <n v="14"/>
    <x v="2473"/>
    <d v="2004-07-21T00:00:00"/>
    <s v="Shipped"/>
    <n v="3"/>
    <n v="7"/>
    <x v="1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s v="Small"/>
  </r>
  <r>
    <n v="10282"/>
    <n v="43"/>
    <n v="86.61"/>
    <n v="2"/>
    <x v="2474"/>
    <d v="2004-08-20T00:00:00"/>
    <s v="Shipped"/>
    <n v="3"/>
    <n v="8"/>
    <x v="1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93"/>
    <n v="29"/>
    <n v="71.89"/>
    <n v="5"/>
    <x v="2475"/>
    <d v="2004-09-09T00:00:00"/>
    <s v="Shipped"/>
    <n v="3"/>
    <n v="9"/>
    <x v="1"/>
    <x v="5"/>
    <n v="86"/>
    <s v="S700_1938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8"/>
    <n v="91.81"/>
    <n v="10"/>
    <x v="2476"/>
    <d v="2004-10-14T00:00:00"/>
    <s v="Shipped"/>
    <n v="4"/>
    <n v="10"/>
    <x v="1"/>
    <x v="5"/>
    <n v="86"/>
    <s v="S700_1938"/>
    <s v="AV Stores, Co."/>
    <s v="(171) 555-1555"/>
    <s v="Fauntleroy Circus"/>
    <m/>
    <s v="Manchester"/>
    <m/>
    <s v="EC2 5NT"/>
    <x v="6"/>
    <s v="EMEA"/>
    <s v="Ashworth"/>
    <s v="Victoria"/>
    <s v="Medium"/>
  </r>
  <r>
    <n v="10314"/>
    <n v="23"/>
    <n v="76.22"/>
    <n v="2"/>
    <x v="2477"/>
    <d v="2004-10-22T00:00:00"/>
    <s v="Shipped"/>
    <n v="4"/>
    <n v="10"/>
    <x v="1"/>
    <x v="5"/>
    <n v="86"/>
    <s v="S700_1938"/>
    <s v="Heintze Collectables"/>
    <s v="86 21 3555"/>
    <s v="Smagsloget 45"/>
    <m/>
    <s v="Aaarhus"/>
    <m/>
    <n v="8200"/>
    <x v="13"/>
    <s v="EMEA"/>
    <s v="Ibsen"/>
    <s v="Palle"/>
    <s v="Small"/>
  </r>
  <r>
    <n v="10327"/>
    <n v="20"/>
    <n v="100"/>
    <n v="7"/>
    <x v="2478"/>
    <d v="2004-11-10T00:00:00"/>
    <s v="Resolved"/>
    <n v="4"/>
    <n v="11"/>
    <x v="1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6"/>
    <n v="70.3"/>
    <n v="9"/>
    <x v="2479"/>
    <d v="2004-11-21T00:00:00"/>
    <s v="Shipped"/>
    <n v="4"/>
    <n v="11"/>
    <x v="1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8"/>
    <n v="100"/>
    <n v="4"/>
    <x v="2480"/>
    <d v="2004-12-02T00:00:00"/>
    <s v="Shipped"/>
    <n v="4"/>
    <n v="12"/>
    <x v="1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s v="Small"/>
  </r>
  <r>
    <n v="10372"/>
    <n v="44"/>
    <n v="100"/>
    <n v="2"/>
    <x v="2481"/>
    <d v="2005-01-26T00:00:00"/>
    <s v="Shipped"/>
    <n v="1"/>
    <n v="1"/>
    <x v="2"/>
    <x v="5"/>
    <n v="86"/>
    <s v="S700_1938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84"/>
    <n v="49"/>
    <n v="100"/>
    <n v="1"/>
    <x v="2482"/>
    <d v="2005-02-23T00:00:00"/>
    <s v="Shipped"/>
    <n v="1"/>
    <n v="2"/>
    <x v="2"/>
    <x v="5"/>
    <n v="86"/>
    <s v="S700_1938"/>
    <s v="Corporate Gift Ideas Co."/>
    <n v="6505551386"/>
    <s v="7734 Strong St."/>
    <m/>
    <s v="San Francisco"/>
    <s v="CA"/>
    <m/>
    <x v="0"/>
    <s v="NA"/>
    <s v="Brown"/>
    <s v="Julie"/>
    <s v="Medium"/>
  </r>
  <r>
    <n v="10397"/>
    <n v="32"/>
    <n v="80.55"/>
    <n v="5"/>
    <x v="2483"/>
    <d v="2005-03-28T00:00:00"/>
    <s v="Shipped"/>
    <n v="1"/>
    <n v="3"/>
    <x v="2"/>
    <x v="5"/>
    <n v="86"/>
    <s v="S700_1938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34"/>
    <n v="100"/>
    <n v="13"/>
    <x v="2484"/>
    <d v="2005-05-06T00:00:00"/>
    <s v="On Hold"/>
    <n v="2"/>
    <n v="5"/>
    <x v="2"/>
    <x v="5"/>
    <n v="86"/>
    <s v="S700_1938"/>
    <s v="Gifts4AllAges.com"/>
    <n v="6175559555"/>
    <s v="8616 Spinnaker Dr."/>
    <m/>
    <s v="Boston"/>
    <s v="MA"/>
    <n v="51003"/>
    <x v="0"/>
    <s v="NA"/>
    <s v="Yoshido"/>
    <s v="Juri"/>
    <s v="Medium"/>
  </r>
  <r>
    <n v="10106"/>
    <n v="30"/>
    <n v="100"/>
    <n v="16"/>
    <x v="2485"/>
    <d v="2003-02-17T00:00:00"/>
    <s v="Shipped"/>
    <n v="1"/>
    <n v="2"/>
    <x v="0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s v="Medium"/>
  </r>
  <r>
    <n v="10119"/>
    <n v="29"/>
    <n v="94.14"/>
    <n v="7"/>
    <x v="2486"/>
    <d v="2003-04-28T00:00:00"/>
    <s v="Shipped"/>
    <n v="2"/>
    <n v="4"/>
    <x v="0"/>
    <x v="5"/>
    <n v="90"/>
    <s v="S700_2047"/>
    <s v="Salzburg Collectables"/>
    <s v="6562-9555"/>
    <s v="Geislweg 14"/>
    <m/>
    <s v="Salzburg"/>
    <m/>
    <n v="5020"/>
    <x v="5"/>
    <s v="EMEA"/>
    <s v="Pipps"/>
    <s v="Georg"/>
    <s v="Small"/>
  </r>
  <r>
    <n v="10131"/>
    <n v="22"/>
    <n v="85.99"/>
    <n v="8"/>
    <x v="2487"/>
    <d v="2003-06-16T00:00:00"/>
    <s v="Shipped"/>
    <n v="2"/>
    <n v="6"/>
    <x v="0"/>
    <x v="5"/>
    <n v="90"/>
    <s v="S700_2047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26"/>
    <n v="100"/>
    <n v="11"/>
    <x v="2488"/>
    <d v="2003-08-10T00:00:00"/>
    <s v="Shipped"/>
    <n v="3"/>
    <n v="8"/>
    <x v="0"/>
    <x v="5"/>
    <n v="90"/>
    <s v="S700_204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2"/>
    <n v="91.43"/>
    <n v="9"/>
    <x v="2489"/>
    <d v="2003-10-06T00:00:00"/>
    <s v="Shipped"/>
    <n v="4"/>
    <n v="10"/>
    <x v="0"/>
    <x v="5"/>
    <n v="90"/>
    <s v="S700_2047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29"/>
    <n v="100"/>
    <n v="5"/>
    <x v="2490"/>
    <d v="2003-10-23T00:00:00"/>
    <s v="Cancelled"/>
    <n v="4"/>
    <n v="10"/>
    <x v="0"/>
    <x v="5"/>
    <n v="90"/>
    <s v="S700_2047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34"/>
    <n v="96.86"/>
    <n v="8"/>
    <x v="2491"/>
    <d v="2003-11-08T00:00:00"/>
    <s v="Shipped"/>
    <n v="4"/>
    <n v="11"/>
    <x v="0"/>
    <x v="5"/>
    <n v="90"/>
    <s v="S700_2047"/>
    <s v="Alpha Cognac"/>
    <s v="61.77.6555"/>
    <s v="1 rue Alsace-Lorraine"/>
    <m/>
    <s v="Toulouse"/>
    <m/>
    <n v="31000"/>
    <x v="1"/>
    <s v="EMEA"/>
    <s v="Roulet"/>
    <s v="Annette"/>
    <s v="Medium"/>
  </r>
  <r>
    <n v="10186"/>
    <n v="24"/>
    <n v="99.57"/>
    <n v="5"/>
    <x v="2492"/>
    <d v="2003-11-14T00:00:00"/>
    <s v="Shipped"/>
    <n v="4"/>
    <n v="11"/>
    <x v="0"/>
    <x v="5"/>
    <n v="90"/>
    <s v="S700_2047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24"/>
    <n v="90.52"/>
    <n v="2"/>
    <x v="2493"/>
    <d v="2003-11-26T00:00:00"/>
    <s v="Shipped"/>
    <n v="4"/>
    <n v="11"/>
    <x v="0"/>
    <x v="5"/>
    <n v="90"/>
    <s v="S700_2047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33"/>
    <n v="88.71"/>
    <n v="4"/>
    <x v="2494"/>
    <d v="2004-01-09T00:00:00"/>
    <s v="Shipped"/>
    <n v="1"/>
    <n v="1"/>
    <x v="1"/>
    <x v="5"/>
    <n v="90"/>
    <s v="S700_2047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26"/>
    <n v="100"/>
    <n v="8"/>
    <x v="2495"/>
    <d v="2004-02-19T00:00:00"/>
    <s v="Shipped"/>
    <n v="1"/>
    <n v="2"/>
    <x v="1"/>
    <x v="5"/>
    <n v="90"/>
    <s v="S700_2047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40"/>
    <n v="95.95"/>
    <n v="4"/>
    <x v="2496"/>
    <d v="2004-05-08T00:00:00"/>
    <s v="Shipped"/>
    <n v="2"/>
    <n v="5"/>
    <x v="1"/>
    <x v="5"/>
    <n v="90"/>
    <s v="S700_2047"/>
    <s v="Cambridge Collectables Co."/>
    <n v="6175555555"/>
    <s v="4658 Baden Av."/>
    <m/>
    <s v="Cambridge"/>
    <s v="MA"/>
    <n v="51247"/>
    <x v="0"/>
    <s v="NA"/>
    <s v="Tseng"/>
    <s v="Kyung"/>
    <s v="Medium"/>
  </r>
  <r>
    <n v="10262"/>
    <n v="44"/>
    <n v="94.14"/>
    <n v="13"/>
    <x v="2497"/>
    <d v="2004-06-24T00:00:00"/>
    <s v="Cancelled"/>
    <n v="2"/>
    <n v="6"/>
    <x v="1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s v="Medium"/>
  </r>
  <r>
    <n v="10274"/>
    <n v="24"/>
    <n v="90.52"/>
    <n v="5"/>
    <x v="2493"/>
    <d v="2004-07-21T00:00:00"/>
    <s v="Shipped"/>
    <n v="3"/>
    <n v="7"/>
    <x v="1"/>
    <x v="5"/>
    <n v="90"/>
    <s v="S700_2047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3"/>
    <n v="20"/>
    <n v="94.14"/>
    <n v="2"/>
    <x v="2498"/>
    <d v="2004-08-20T00:00:00"/>
    <s v="Shipped"/>
    <n v="3"/>
    <n v="8"/>
    <x v="1"/>
    <x v="5"/>
    <n v="90"/>
    <s v="S700_204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34"/>
    <n v="100"/>
    <n v="11"/>
    <x v="2499"/>
    <d v="2004-09-15T00:00:00"/>
    <s v="Shipped"/>
    <n v="3"/>
    <n v="9"/>
    <x v="1"/>
    <x v="5"/>
    <n v="90"/>
    <s v="S700_2047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7"/>
    <n v="34"/>
    <n v="97.76"/>
    <n v="5"/>
    <x v="2500"/>
    <d v="2004-10-14T00:00:00"/>
    <s v="Shipped"/>
    <n v="4"/>
    <n v="10"/>
    <x v="1"/>
    <x v="5"/>
    <n v="90"/>
    <s v="S700_2047"/>
    <s v="Classic Gift Ideas, Inc"/>
    <n v="2155554695"/>
    <s v="782 First Street"/>
    <m/>
    <s v="Philadelphia"/>
    <s v="PA"/>
    <n v="71270"/>
    <x v="0"/>
    <s v="NA"/>
    <s v="Cervantes"/>
    <s v="Francisca"/>
    <s v="Medium"/>
  </r>
  <r>
    <n v="10316"/>
    <n v="45"/>
    <n v="93.24"/>
    <n v="13"/>
    <x v="2501"/>
    <d v="2004-11-01T00:00:00"/>
    <s v="Shipped"/>
    <n v="4"/>
    <n v="11"/>
    <x v="1"/>
    <x v="5"/>
    <n v="90"/>
    <s v="S700_2047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41"/>
    <n v="100"/>
    <n v="9"/>
    <x v="2502"/>
    <d v="2004-11-12T00:00:00"/>
    <s v="Shipped"/>
    <n v="4"/>
    <n v="11"/>
    <x v="1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55"/>
    <n v="71.25"/>
    <n v="15"/>
    <x v="2503"/>
    <d v="2004-11-23T00:00:00"/>
    <s v="Shipped"/>
    <n v="4"/>
    <n v="11"/>
    <x v="1"/>
    <x v="5"/>
    <n v="90"/>
    <s v="S700_2047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2"/>
    <n v="23"/>
    <n v="100"/>
    <n v="3"/>
    <x v="2504"/>
    <d v="2004-12-03T00:00:00"/>
    <s v="Shipped"/>
    <n v="4"/>
    <n v="12"/>
    <x v="1"/>
    <x v="5"/>
    <n v="90"/>
    <s v="S700_2047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24"/>
    <n v="45.39"/>
    <n v="14"/>
    <x v="2505"/>
    <d v="2004-12-17T00:00:00"/>
    <s v="Shipped"/>
    <n v="4"/>
    <n v="12"/>
    <x v="1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32"/>
    <n v="84.41"/>
    <n v="15"/>
    <x v="2506"/>
    <d v="2005-01-31T00:00:00"/>
    <s v="Shipped"/>
    <n v="1"/>
    <n v="1"/>
    <x v="2"/>
    <x v="5"/>
    <n v="90"/>
    <s v="S700_2047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29"/>
    <n v="85.76"/>
    <n v="13"/>
    <x v="2507"/>
    <d v="2005-03-01T00:00:00"/>
    <s v="Resolved"/>
    <n v="1"/>
    <n v="3"/>
    <x v="2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s v="Small"/>
  </r>
  <r>
    <n v="10398"/>
    <n v="36"/>
    <n v="100"/>
    <n v="7"/>
    <x v="2508"/>
    <d v="2005-03-30T00:00:00"/>
    <s v="Shipped"/>
    <n v="1"/>
    <n v="3"/>
    <x v="2"/>
    <x v="5"/>
    <n v="90"/>
    <s v="S700_2047"/>
    <s v="Reims Collectables"/>
    <s v="26.47.1555"/>
    <s v="59 rue de l'Abbaye"/>
    <m/>
    <s v="Reims"/>
    <m/>
    <n v="51100"/>
    <x v="1"/>
    <s v="EMEA"/>
    <s v="Henriot"/>
    <s v="Paul"/>
    <s v="Medium"/>
  </r>
  <r>
    <n v="10400"/>
    <n v="46"/>
    <n v="87.8"/>
    <n v="5"/>
    <x v="2509"/>
    <d v="2005-04-01T00:00:00"/>
    <s v="Shipped"/>
    <n v="2"/>
    <n v="4"/>
    <x v="2"/>
    <x v="5"/>
    <n v="90"/>
    <s v="S700_2047"/>
    <s v="The Sharp Gifts Warehouse"/>
    <n v="4085553659"/>
    <s v="3086 Ingle Ln."/>
    <m/>
    <s v="San Jose"/>
    <s v="CA"/>
    <n v="94217"/>
    <x v="0"/>
    <s v="NA"/>
    <s v="Frick"/>
    <s v="Sue"/>
    <s v="Medium"/>
  </r>
  <r>
    <n v="10415"/>
    <n v="32"/>
    <n v="95.95"/>
    <n v="4"/>
    <x v="2510"/>
    <d v="2005-05-09T00:00:00"/>
    <s v="Disputed"/>
    <n v="2"/>
    <n v="5"/>
    <x v="2"/>
    <x v="5"/>
    <n v="90"/>
    <s v="S700_2047"/>
    <s v="Australian Collectables, Ltd"/>
    <s v="61-9-3844-6555"/>
    <s v="7 Allen Street"/>
    <m/>
    <s v="Glen Waverly"/>
    <s v="Victoria"/>
    <n v="3150"/>
    <x v="3"/>
    <s v="APAC"/>
    <s v="Connery"/>
    <s v="Sean"/>
    <s v="Medium"/>
  </r>
  <r>
    <n v="10106"/>
    <n v="34"/>
    <n v="100"/>
    <n v="9"/>
    <x v="2511"/>
    <d v="2003-02-17T00:00:00"/>
    <s v="Shipped"/>
    <n v="1"/>
    <n v="2"/>
    <x v="0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15"/>
    <x v="2512"/>
    <d v="2003-04-29T00:00:00"/>
    <s v="Shipped"/>
    <n v="2"/>
    <n v="4"/>
    <x v="0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131"/>
    <n v="40"/>
    <n v="100"/>
    <n v="1"/>
    <x v="2513"/>
    <d v="2003-06-16T00:00:00"/>
    <s v="Shipped"/>
    <n v="2"/>
    <n v="6"/>
    <x v="0"/>
    <x v="4"/>
    <n v="99"/>
    <s v="S700_2466"/>
    <s v="Gift Ideas Corp."/>
    <n v="2035554407"/>
    <s v="2440 Pompton St."/>
    <m/>
    <s v="Glendale"/>
    <s v="CT"/>
    <n v="97561"/>
    <x v="0"/>
    <s v="NA"/>
    <s v="Lewis"/>
    <s v="Dan"/>
    <s v="Medium"/>
  </r>
  <r>
    <n v="10143"/>
    <n v="26"/>
    <n v="82.77"/>
    <n v="4"/>
    <x v="2514"/>
    <d v="2003-08-10T00:00:00"/>
    <s v="Shipped"/>
    <n v="3"/>
    <n v="8"/>
    <x v="0"/>
    <x v="4"/>
    <n v="99"/>
    <s v="S700_2466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20"/>
    <n v="100"/>
    <n v="2"/>
    <x v="2515"/>
    <d v="2003-10-06T00:00:00"/>
    <s v="Shipped"/>
    <n v="4"/>
    <n v="10"/>
    <x v="0"/>
    <x v="4"/>
    <n v="99"/>
    <s v="S700_2466"/>
    <s v="Toys of Finland, Co."/>
    <s v="90-224 8555"/>
    <s v="Keskuskatu 45"/>
    <m/>
    <s v="Helsinki"/>
    <m/>
    <n v="21240"/>
    <x v="4"/>
    <s v="EMEA"/>
    <s v="Karttunen"/>
    <s v="Matti"/>
    <s v="Small"/>
  </r>
  <r>
    <n v="10168"/>
    <n v="31"/>
    <n v="100"/>
    <n v="16"/>
    <x v="2516"/>
    <d v="2003-10-28T00:00:00"/>
    <s v="Shipped"/>
    <n v="4"/>
    <n v="10"/>
    <x v="0"/>
    <x v="4"/>
    <n v="99"/>
    <s v="S700_2466"/>
    <s v="Technics Stores Inc."/>
    <n v="6505556809"/>
    <s v="9408 Furth Circle"/>
    <m/>
    <s v="Burlingame"/>
    <s v="CA"/>
    <n v="94217"/>
    <x v="0"/>
    <s v="NA"/>
    <s v="Hirano"/>
    <s v="Juri"/>
    <s v="Medium"/>
  </r>
  <r>
    <n v="10178"/>
    <n v="22"/>
    <n v="87.75"/>
    <n v="1"/>
    <x v="2517"/>
    <d v="2003-11-08T00:00:00"/>
    <s v="Shipped"/>
    <n v="4"/>
    <n v="11"/>
    <x v="0"/>
    <x v="4"/>
    <n v="99"/>
    <s v="S700_2466"/>
    <s v="Alpha Cognac"/>
    <s v="61.77.6555"/>
    <s v="1 rue Alsace-Lorraine"/>
    <m/>
    <s v="Toulouse"/>
    <m/>
    <n v="31000"/>
    <x v="1"/>
    <s v="EMEA"/>
    <s v="Roulet"/>
    <s v="Annette"/>
    <s v="Small"/>
  </r>
  <r>
    <n v="10198"/>
    <n v="42"/>
    <n v="100"/>
    <n v="1"/>
    <x v="2518"/>
    <d v="2003-11-27T00:00:00"/>
    <s v="Shipped"/>
    <n v="4"/>
    <n v="11"/>
    <x v="0"/>
    <x v="4"/>
    <n v="99"/>
    <s v="S700_2466"/>
    <s v="Cruz &amp; Sons Co."/>
    <s v="+63 2 555 3587"/>
    <s v="15 McCallum Street - NatWest Center #13-03"/>
    <m/>
    <s v="Makati City"/>
    <m/>
    <s v="1227 MM"/>
    <x v="15"/>
    <s v="Japan"/>
    <s v="Cruz"/>
    <s v="Arnold"/>
    <s v="Medium"/>
  </r>
  <r>
    <n v="10210"/>
    <n v="26"/>
    <n v="99.72"/>
    <n v="14"/>
    <x v="2519"/>
    <d v="2004-01-12T00:00:00"/>
    <s v="Shipped"/>
    <n v="1"/>
    <n v="1"/>
    <x v="1"/>
    <x v="4"/>
    <n v="99"/>
    <s v="S700_2466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37"/>
    <n v="87.75"/>
    <n v="1"/>
    <x v="2520"/>
    <d v="2004-02-19T00:00:00"/>
    <s v="Shipped"/>
    <n v="1"/>
    <n v="2"/>
    <x v="1"/>
    <x v="4"/>
    <n v="99"/>
    <s v="S700_2466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5"/>
    <n v="38"/>
    <n v="88.75"/>
    <n v="10"/>
    <x v="2521"/>
    <d v="2004-04-02T00:00:00"/>
    <s v="Shipped"/>
    <n v="2"/>
    <n v="4"/>
    <x v="1"/>
    <x v="4"/>
    <n v="99"/>
    <s v="S700_2466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50"/>
    <n v="35"/>
    <n v="100"/>
    <n v="11"/>
    <x v="2522"/>
    <d v="2004-05-11T00:00:00"/>
    <s v="Shipped"/>
    <n v="2"/>
    <n v="5"/>
    <x v="1"/>
    <x v="4"/>
    <n v="99"/>
    <s v="S700_2466"/>
    <s v="The Sharp Gifts Warehouse"/>
    <n v="4085553659"/>
    <s v="3086 Ingle Ln."/>
    <m/>
    <s v="San Jose"/>
    <s v="CA"/>
    <n v="94217"/>
    <x v="0"/>
    <s v="NA"/>
    <s v="Frick"/>
    <s v="Sue"/>
    <s v="Medium"/>
  </r>
  <r>
    <n v="10262"/>
    <n v="33"/>
    <n v="90.75"/>
    <n v="6"/>
    <x v="2523"/>
    <d v="2004-06-24T00:00:00"/>
    <s v="Cancelled"/>
    <n v="2"/>
    <n v="6"/>
    <x v="1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9"/>
    <n v="100"/>
    <n v="16"/>
    <x v="2524"/>
    <d v="2004-07-23T00:00:00"/>
    <s v="Shipped"/>
    <n v="3"/>
    <n v="7"/>
    <x v="1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45"/>
    <n v="100"/>
    <n v="8"/>
    <x v="2525"/>
    <d v="2004-08-21T00:00:00"/>
    <s v="Shipped"/>
    <n v="3"/>
    <n v="8"/>
    <x v="1"/>
    <x v="4"/>
    <n v="99"/>
    <s v="S700_2466"/>
    <s v="Norway Gifts By Mail, Co."/>
    <s v="+47 2212 1555"/>
    <s v="Drammensveien 126 A, PB 744 Sentrum"/>
    <m/>
    <s v="Oslo"/>
    <m/>
    <s v="N 0106"/>
    <x v="2"/>
    <s v="EMEA"/>
    <s v="Klaeboe"/>
    <s v="Jan"/>
    <s v="Medium"/>
  </r>
  <r>
    <n v="10296"/>
    <n v="24"/>
    <n v="100"/>
    <n v="4"/>
    <x v="1304"/>
    <d v="2004-09-15T00:00:00"/>
    <s v="Shipped"/>
    <n v="3"/>
    <n v="9"/>
    <x v="1"/>
    <x v="4"/>
    <n v="99"/>
    <s v="S700_2466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35"/>
    <n v="88.75"/>
    <n v="14"/>
    <x v="2526"/>
    <d v="2004-10-15T00:00:00"/>
    <s v="Shipped"/>
    <n v="4"/>
    <n v="10"/>
    <x v="1"/>
    <x v="4"/>
    <n v="99"/>
    <s v="S700_2466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6"/>
    <n v="23"/>
    <n v="100"/>
    <n v="6"/>
    <x v="2527"/>
    <d v="2004-11-01T00:00:00"/>
    <s v="Shipped"/>
    <n v="4"/>
    <n v="11"/>
    <x v="1"/>
    <x v="4"/>
    <n v="99"/>
    <s v="S700_2466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7"/>
    <n v="100"/>
    <n v="10"/>
    <x v="2528"/>
    <d v="2004-11-12T00:00:00"/>
    <s v="Shipped"/>
    <n v="4"/>
    <n v="11"/>
    <x v="1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s v="Medium"/>
  </r>
  <r>
    <n v="10340"/>
    <n v="55"/>
    <n v="87.75"/>
    <n v="7"/>
    <x v="2529"/>
    <d v="2004-11-24T00:00:00"/>
    <s v="Shipped"/>
    <n v="4"/>
    <n v="11"/>
    <x v="1"/>
    <x v="4"/>
    <n v="99"/>
    <s v="S700_2466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2"/>
    <n v="49"/>
    <n v="100"/>
    <n v="2"/>
    <x v="2530"/>
    <d v="2004-12-03T00:00:00"/>
    <s v="Shipped"/>
    <n v="4"/>
    <n v="12"/>
    <x v="1"/>
    <x v="4"/>
    <n v="99"/>
    <s v="S700_2466"/>
    <s v="Auto-Moto Classics Inc."/>
    <n v="6175558428"/>
    <s v="16780 Pompton St."/>
    <m/>
    <s v="Brickhaven"/>
    <s v="MA"/>
    <n v="58339"/>
    <x v="0"/>
    <s v="NA"/>
    <s v="Taylor"/>
    <s v="Leslie"/>
    <s v="Medium"/>
  </r>
  <r>
    <n v="10361"/>
    <n v="26"/>
    <n v="100"/>
    <n v="9"/>
    <x v="2531"/>
    <d v="2004-12-17T00:00:00"/>
    <s v="Shipped"/>
    <n v="4"/>
    <n v="12"/>
    <x v="1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5"/>
    <n v="33"/>
    <n v="100"/>
    <n v="1"/>
    <x v="2532"/>
    <d v="2005-02-03T00:00:00"/>
    <s v="Shipped"/>
    <n v="1"/>
    <n v="2"/>
    <x v="2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s v="Medium"/>
  </r>
  <r>
    <n v="10386"/>
    <n v="37"/>
    <n v="83.84"/>
    <n v="14"/>
    <x v="2533"/>
    <d v="2005-03-01T00:00:00"/>
    <s v="Resolved"/>
    <n v="1"/>
    <n v="3"/>
    <x v="2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2"/>
    <n v="86.76"/>
    <n v="8"/>
    <x v="2534"/>
    <d v="2005-03-30T00:00:00"/>
    <s v="Shipped"/>
    <n v="1"/>
    <n v="3"/>
    <x v="2"/>
    <x v="4"/>
    <n v="99"/>
    <s v="S700_2466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85"/>
    <n v="88.75"/>
    <n v="10"/>
    <x v="2535"/>
    <d v="2005-04-03T00:00:00"/>
    <s v="On Hold"/>
    <n v="2"/>
    <n v="4"/>
    <x v="2"/>
    <x v="4"/>
    <n v="99"/>
    <s v="S700_2466"/>
    <s v="Tekni Collectables Inc."/>
    <n v="2015559350"/>
    <s v="7476 Moss Rd."/>
    <m/>
    <s v="Newark"/>
    <s v="NJ"/>
    <n v="94019"/>
    <x v="0"/>
    <s v="NA"/>
    <s v="Brown"/>
    <s v="William"/>
    <s v="Large"/>
  </r>
  <r>
    <n v="10416"/>
    <n v="22"/>
    <n v="100"/>
    <n v="11"/>
    <x v="2536"/>
    <d v="2005-05-10T00:00:00"/>
    <s v="Shipped"/>
    <n v="2"/>
    <n v="5"/>
    <x v="2"/>
    <x v="4"/>
    <n v="99"/>
    <s v="S700_2466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31"/>
    <n v="65.77"/>
    <n v="3"/>
    <x v="2537"/>
    <d v="2003-02-11T00:00:00"/>
    <s v="Shipped"/>
    <n v="1"/>
    <n v="2"/>
    <x v="0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s v="Small"/>
  </r>
  <r>
    <n v="10119"/>
    <n v="38"/>
    <n v="65.77"/>
    <n v="12"/>
    <x v="2538"/>
    <d v="2003-04-28T00:00:00"/>
    <s v="Shipped"/>
    <n v="2"/>
    <n v="4"/>
    <x v="0"/>
    <x v="5"/>
    <n v="72"/>
    <s v="S700_2610"/>
    <s v="Salzburg Collectables"/>
    <s v="6562-9555"/>
    <s v="Geislweg 14"/>
    <m/>
    <s v="Salzburg"/>
    <m/>
    <n v="5020"/>
    <x v="5"/>
    <s v="EMEA"/>
    <s v="Pipps"/>
    <s v="Georg"/>
    <s v="Small"/>
  </r>
  <r>
    <n v="10129"/>
    <n v="45"/>
    <n v="85.29"/>
    <n v="3"/>
    <x v="2539"/>
    <d v="2003-06-12T00:00:00"/>
    <s v="Shipped"/>
    <n v="2"/>
    <n v="6"/>
    <x v="0"/>
    <x v="5"/>
    <n v="72"/>
    <s v="S700_2610"/>
    <s v="Stylish Desk Decors, Co."/>
    <s v="(171) 555-0297"/>
    <s v="35 King George"/>
    <m/>
    <s v="London"/>
    <m/>
    <s v="WX3 6FW"/>
    <x v="6"/>
    <s v="EMEA"/>
    <s v="Brown"/>
    <s v="Ann"/>
    <s v="Medium"/>
  </r>
  <r>
    <n v="10143"/>
    <n v="31"/>
    <n v="85.29"/>
    <n v="16"/>
    <x v="2540"/>
    <d v="2003-08-10T00:00:00"/>
    <s v="Shipped"/>
    <n v="3"/>
    <n v="8"/>
    <x v="0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s v="Small"/>
  </r>
  <r>
    <n v="10154"/>
    <n v="36"/>
    <n v="64.33"/>
    <n v="1"/>
    <x v="2541"/>
    <d v="2003-10-02T00:00:00"/>
    <s v="Shipped"/>
    <n v="4"/>
    <n v="10"/>
    <x v="0"/>
    <x v="5"/>
    <n v="72"/>
    <s v="S700_2610"/>
    <s v="Boards &amp; Toys Co."/>
    <n v="3105552373"/>
    <s v="4097 Douglas Av."/>
    <m/>
    <s v="Glendale"/>
    <s v="CA"/>
    <n v="92561"/>
    <x v="0"/>
    <s v="NA"/>
    <s v="Young"/>
    <s v="Leslie"/>
    <s v="Small"/>
  </r>
  <r>
    <n v="10167"/>
    <n v="46"/>
    <n v="70.11"/>
    <n v="10"/>
    <x v="2542"/>
    <d v="2003-10-23T00:00:00"/>
    <s v="Cancelled"/>
    <n v="4"/>
    <n v="10"/>
    <x v="0"/>
    <x v="5"/>
    <n v="72"/>
    <s v="S700_2610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32"/>
    <n v="76.62"/>
    <n v="1"/>
    <x v="2543"/>
    <d v="2003-11-07T00:00:00"/>
    <s v="Shipped"/>
    <n v="4"/>
    <n v="11"/>
    <x v="0"/>
    <x v="5"/>
    <n v="72"/>
    <s v="S700_2610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39"/>
    <n v="57.82"/>
    <n v="1"/>
    <x v="2544"/>
    <d v="2003-11-14T00:00:00"/>
    <s v="Shipped"/>
    <n v="4"/>
    <n v="11"/>
    <x v="0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50"/>
    <n v="78.790000000000006"/>
    <n v="7"/>
    <x v="2545"/>
    <d v="2003-11-26T00:00:00"/>
    <s v="Shipped"/>
    <n v="4"/>
    <n v="11"/>
    <x v="0"/>
    <x v="5"/>
    <n v="72"/>
    <s v="S700_2610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46"/>
    <n v="74.45"/>
    <n v="1"/>
    <x v="2546"/>
    <d v="2004-01-02T00:00:00"/>
    <s v="Shipped"/>
    <n v="1"/>
    <n v="1"/>
    <x v="1"/>
    <x v="5"/>
    <n v="72"/>
    <s v="S700_2610"/>
    <s v="Saveley &amp; Henriot, Co."/>
    <s v="78.32.5555"/>
    <s v="2, rue du Commerce"/>
    <m/>
    <s v="Lyon"/>
    <m/>
    <n v="69004"/>
    <x v="1"/>
    <s v="EMEA"/>
    <s v="Saveley"/>
    <s v="Mary"/>
    <s v="Medium"/>
  </r>
  <r>
    <n v="10222"/>
    <n v="36"/>
    <n v="80.95"/>
    <n v="13"/>
    <x v="2547"/>
    <d v="2004-02-19T00:00:00"/>
    <s v="Shipped"/>
    <n v="1"/>
    <n v="2"/>
    <x v="1"/>
    <x v="5"/>
    <n v="72"/>
    <s v="S700_2610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3"/>
    <n v="29"/>
    <n v="82.4"/>
    <n v="1"/>
    <x v="2548"/>
    <d v="2004-03-29T00:00:00"/>
    <s v="Shipped"/>
    <n v="1"/>
    <n v="3"/>
    <x v="1"/>
    <x v="5"/>
    <n v="72"/>
    <s v="S700_2610"/>
    <s v="Tekni Collectables Inc."/>
    <n v="2015559350"/>
    <s v="7476 Moss Rd."/>
    <m/>
    <s v="Newark"/>
    <s v="NJ"/>
    <n v="94019"/>
    <x v="0"/>
    <s v="NA"/>
    <s v="Brown"/>
    <s v="William"/>
    <s v="Small"/>
  </r>
  <r>
    <n v="10248"/>
    <n v="32"/>
    <n v="75.89"/>
    <n v="4"/>
    <x v="2549"/>
    <d v="2004-05-07T00:00:00"/>
    <s v="Cancelled"/>
    <n v="2"/>
    <n v="5"/>
    <x v="1"/>
    <x v="5"/>
    <n v="72"/>
    <s v="S700_2610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44"/>
    <n v="68.67"/>
    <n v="2"/>
    <x v="2550"/>
    <d v="2004-06-17T00:00:00"/>
    <s v="Shipped"/>
    <n v="2"/>
    <n v="6"/>
    <x v="1"/>
    <x v="5"/>
    <n v="72"/>
    <s v="S700_2610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42"/>
    <n v="62.16"/>
    <n v="5"/>
    <x v="2551"/>
    <d v="2004-07-21T00:00:00"/>
    <s v="Shipped"/>
    <n v="3"/>
    <n v="7"/>
    <x v="1"/>
    <x v="5"/>
    <n v="72"/>
    <s v="S700_2610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47"/>
    <n v="65.77"/>
    <n v="7"/>
    <x v="2552"/>
    <d v="2004-08-20T00:00:00"/>
    <s v="Shipped"/>
    <n v="3"/>
    <n v="8"/>
    <x v="1"/>
    <x v="5"/>
    <n v="72"/>
    <s v="S700_2610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5"/>
    <n v="44"/>
    <n v="58.55"/>
    <n v="2"/>
    <x v="2553"/>
    <d v="2004-09-10T00:00:00"/>
    <s v="Shipped"/>
    <n v="3"/>
    <n v="9"/>
    <x v="1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s v="Small"/>
  </r>
  <r>
    <n v="10306"/>
    <n v="43"/>
    <n v="75.17"/>
    <n v="1"/>
    <x v="2554"/>
    <d v="2004-10-14T00:00:00"/>
    <s v="Shipped"/>
    <n v="4"/>
    <n v="10"/>
    <x v="1"/>
    <x v="5"/>
    <n v="72"/>
    <s v="S700_2610"/>
    <s v="AV Stores, Co."/>
    <s v="(171) 555-1555"/>
    <s v="Fauntleroy Circus"/>
    <m/>
    <s v="Manchester"/>
    <m/>
    <s v="EC2 5NT"/>
    <x v="6"/>
    <s v="EMEA"/>
    <s v="Ashworth"/>
    <s v="Victoria"/>
    <s v="Medium"/>
  </r>
  <r>
    <n v="10316"/>
    <n v="48"/>
    <n v="74.45"/>
    <n v="18"/>
    <x v="2555"/>
    <d v="2004-11-01T00:00:00"/>
    <s v="Shipped"/>
    <n v="4"/>
    <n v="11"/>
    <x v="1"/>
    <x v="5"/>
    <n v="72"/>
    <s v="S700_2610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7"/>
    <n v="21"/>
    <n v="96.31"/>
    <n v="1"/>
    <x v="2556"/>
    <d v="2004-11-10T00:00:00"/>
    <s v="Resolved"/>
    <n v="4"/>
    <n v="11"/>
    <x v="1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s v="Small"/>
  </r>
  <r>
    <n v="10339"/>
    <n v="50"/>
    <n v="74.349999999999994"/>
    <n v="9"/>
    <x v="2557"/>
    <d v="2004-11-23T00:00:00"/>
    <s v="Shipped"/>
    <n v="4"/>
    <n v="11"/>
    <x v="1"/>
    <x v="5"/>
    <n v="72"/>
    <s v="S700_2610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350"/>
    <n v="29"/>
    <n v="75.349999999999994"/>
    <n v="12"/>
    <x v="2558"/>
    <d v="2004-12-02T00:00:00"/>
    <s v="Shipped"/>
    <n v="4"/>
    <n v="12"/>
    <x v="1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41"/>
    <n v="70.33"/>
    <n v="16"/>
    <x v="2559"/>
    <d v="2005-01-31T00:00:00"/>
    <s v="Shipped"/>
    <n v="1"/>
    <n v="1"/>
    <x v="2"/>
    <x v="5"/>
    <n v="72"/>
    <s v="S700_2610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37"/>
    <n v="100"/>
    <n v="10"/>
    <x v="2560"/>
    <d v="2005-03-01T00:00:00"/>
    <s v="Resolved"/>
    <n v="1"/>
    <n v="3"/>
    <x v="2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22"/>
    <n v="66.5"/>
    <n v="4"/>
    <x v="1490"/>
    <d v="2005-03-28T00:00:00"/>
    <s v="Shipped"/>
    <n v="1"/>
    <n v="3"/>
    <x v="2"/>
    <x v="5"/>
    <n v="72"/>
    <s v="S700_2610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31"/>
    <n v="75.89"/>
    <n v="4"/>
    <x v="2561"/>
    <d v="2005-05-06T00:00:00"/>
    <s v="On Hold"/>
    <n v="2"/>
    <n v="5"/>
    <x v="2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s v="Small"/>
  </r>
  <r>
    <n v="10103"/>
    <n v="42"/>
    <n v="100"/>
    <n v="6"/>
    <x v="2562"/>
    <d v="2003-01-29T00:00:00"/>
    <s v="Shipped"/>
    <n v="1"/>
    <n v="1"/>
    <x v="0"/>
    <x v="1"/>
    <n v="101"/>
    <s v="S700_2824"/>
    <s v="Baane Mini Imports"/>
    <s v="07-98 9555"/>
    <s v="Erling Skakkes gate 78"/>
    <m/>
    <s v="Stavern"/>
    <m/>
    <n v="4110"/>
    <x v="2"/>
    <s v="EMEA"/>
    <s v="Bergulfsen"/>
    <s v="Jonas"/>
    <s v="Medium"/>
  </r>
  <r>
    <n v="10114"/>
    <n v="42"/>
    <n v="100"/>
    <n v="10"/>
    <x v="2563"/>
    <d v="2003-04-01T00:00:00"/>
    <s v="Shipped"/>
    <n v="2"/>
    <n v="4"/>
    <x v="0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s v="Medium"/>
  </r>
  <r>
    <n v="10126"/>
    <n v="45"/>
    <n v="100"/>
    <n v="6"/>
    <x v="2564"/>
    <d v="2003-05-28T00:00:00"/>
    <s v="Shipped"/>
    <n v="2"/>
    <n v="5"/>
    <x v="0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s v="Medium"/>
  </r>
  <r>
    <n v="10140"/>
    <n v="36"/>
    <n v="100"/>
    <n v="6"/>
    <x v="2565"/>
    <d v="2003-07-24T00:00:00"/>
    <s v="Shipped"/>
    <n v="3"/>
    <n v="7"/>
    <x v="0"/>
    <x v="1"/>
    <n v="101"/>
    <s v="S700_2824"/>
    <s v="Technics Stores Inc."/>
    <n v="6505556809"/>
    <s v="9408 Furth Circle"/>
    <m/>
    <s v="Burlingame"/>
    <s v="CA"/>
    <n v="94217"/>
    <x v="0"/>
    <s v="NA"/>
    <s v="Hirano"/>
    <s v="Juri"/>
    <s v="Medium"/>
  </r>
  <r>
    <n v="10150"/>
    <n v="20"/>
    <n v="100"/>
    <n v="3"/>
    <x v="2566"/>
    <d v="2003-09-19T00:00:00"/>
    <s v="Shipped"/>
    <n v="3"/>
    <n v="9"/>
    <x v="0"/>
    <x v="1"/>
    <n v="101"/>
    <s v="S700_2824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64"/>
    <n v="39"/>
    <n v="81.93"/>
    <n v="4"/>
    <x v="2567"/>
    <d v="2003-10-21T00:00:00"/>
    <s v="Resolved"/>
    <n v="4"/>
    <n v="10"/>
    <x v="0"/>
    <x v="1"/>
    <n v="101"/>
    <s v="S700_2824"/>
    <s v="Mini Auto Werke"/>
    <s v="7675-3555"/>
    <s v="Kirchgasse 6"/>
    <m/>
    <s v="Graz"/>
    <m/>
    <n v="8010"/>
    <x v="5"/>
    <s v="EMEA"/>
    <s v="Mendel"/>
    <s v="Roland"/>
    <s v="Medium"/>
  </r>
  <r>
    <n v="10175"/>
    <n v="42"/>
    <n v="85.98"/>
    <n v="11"/>
    <x v="2568"/>
    <d v="2003-11-06T00:00:00"/>
    <s v="Shipped"/>
    <n v="4"/>
    <n v="11"/>
    <x v="0"/>
    <x v="1"/>
    <n v="101"/>
    <s v="S700_2824"/>
    <s v="Stylish Desk Decors, Co."/>
    <s v="(171) 555-0297"/>
    <s v="35 King George"/>
    <m/>
    <s v="London"/>
    <m/>
    <s v="WX3 6FW"/>
    <x v="6"/>
    <s v="EMEA"/>
    <s v="Brown"/>
    <s v="Ann"/>
    <s v="Medium"/>
  </r>
  <r>
    <n v="10183"/>
    <n v="23"/>
    <n v="86.99"/>
    <n v="3"/>
    <x v="2569"/>
    <d v="2003-11-13T00:00:00"/>
    <s v="Shipped"/>
    <n v="4"/>
    <n v="11"/>
    <x v="0"/>
    <x v="1"/>
    <n v="101"/>
    <s v="S700_2824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194"/>
    <n v="26"/>
    <n v="89.01"/>
    <n v="6"/>
    <x v="2570"/>
    <d v="2003-11-25T00:00:00"/>
    <s v="Shipped"/>
    <n v="4"/>
    <n v="11"/>
    <x v="0"/>
    <x v="1"/>
    <n v="101"/>
    <s v="S700_2824"/>
    <s v="Saveley &amp; Henriot, Co."/>
    <s v="78.32.5555"/>
    <s v="2, rue du Commerce"/>
    <m/>
    <s v="Lyon"/>
    <m/>
    <n v="69004"/>
    <x v="1"/>
    <s v="EMEA"/>
    <s v="Saveley"/>
    <s v="Mary"/>
    <s v="Small"/>
  </r>
  <r>
    <n v="10206"/>
    <n v="33"/>
    <n v="100"/>
    <n v="1"/>
    <x v="2571"/>
    <d v="2003-12-05T00:00:00"/>
    <s v="Shipped"/>
    <n v="4"/>
    <n v="12"/>
    <x v="0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s v="Medium"/>
  </r>
  <r>
    <n v="10217"/>
    <n v="31"/>
    <n v="88"/>
    <n v="6"/>
    <x v="2572"/>
    <d v="2004-02-04T00:00:00"/>
    <s v="Shipped"/>
    <n v="1"/>
    <n v="2"/>
    <x v="1"/>
    <x v="1"/>
    <n v="101"/>
    <s v="S700_2824"/>
    <s v="Handji Gifts&amp; Co"/>
    <s v="+65 224 1555"/>
    <s v="Village Close - 106 Linden Road Sandown"/>
    <s v="2nd Floor"/>
    <s v="Singapore"/>
    <m/>
    <n v="69045"/>
    <x v="9"/>
    <s v="APAC"/>
    <s v="Victorino"/>
    <s v="Wendy"/>
    <s v="Small"/>
  </r>
  <r>
    <n v="10229"/>
    <n v="50"/>
    <n v="100"/>
    <n v="11"/>
    <x v="2573"/>
    <d v="2004-03-11T00:00:00"/>
    <s v="Shipped"/>
    <n v="1"/>
    <n v="3"/>
    <x v="1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245"/>
    <n v="44"/>
    <n v="100"/>
    <n v="4"/>
    <x v="2574"/>
    <d v="2004-05-04T00:00:00"/>
    <s v="Shipped"/>
    <n v="2"/>
    <n v="5"/>
    <x v="1"/>
    <x v="1"/>
    <n v="101"/>
    <s v="S700_2824"/>
    <s v="Super Scale Inc."/>
    <n v="2035559545"/>
    <s v="567 North Pendale Street"/>
    <m/>
    <s v="New Haven"/>
    <s v="CT"/>
    <n v="97823"/>
    <x v="0"/>
    <s v="NA"/>
    <s v="Murphy"/>
    <s v="Leslie"/>
    <s v="Medium"/>
  </r>
  <r>
    <n v="10258"/>
    <n v="45"/>
    <n v="80.92"/>
    <n v="1"/>
    <x v="2575"/>
    <d v="2004-06-15T00:00:00"/>
    <s v="Shipped"/>
    <n v="2"/>
    <n v="6"/>
    <x v="1"/>
    <x v="1"/>
    <n v="101"/>
    <s v="S700_2824"/>
    <s v="Tokyo Collectables, Ltd"/>
    <s v="+81 3 3584 0555"/>
    <s v="2-2-8 Roppongi"/>
    <m/>
    <s v="Minato-ku"/>
    <s v="Tokyo"/>
    <s v="106-0032"/>
    <x v="11"/>
    <s v="Japan"/>
    <s v="Shimamura"/>
    <s v="Akiko"/>
    <s v="Medium"/>
  </r>
  <r>
    <n v="10270"/>
    <n v="46"/>
    <n v="88"/>
    <n v="4"/>
    <x v="2576"/>
    <d v="2004-07-19T00:00:00"/>
    <s v="Shipped"/>
    <n v="3"/>
    <n v="7"/>
    <x v="1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281"/>
    <n v="27"/>
    <n v="85.98"/>
    <n v="11"/>
    <x v="2577"/>
    <d v="2004-08-19T00:00:00"/>
    <s v="Shipped"/>
    <n v="3"/>
    <n v="8"/>
    <x v="1"/>
    <x v="1"/>
    <n v="101"/>
    <s v="S700_2824"/>
    <s v="Diecast Classics Inc."/>
    <n v="2155551555"/>
    <s v="7586 Pompton St."/>
    <m/>
    <s v="Allentown"/>
    <s v="PA"/>
    <n v="70267"/>
    <x v="0"/>
    <s v="NA"/>
    <s v="Yu"/>
    <s v="Kyung"/>
    <s v="Small"/>
  </r>
  <r>
    <n v="10291"/>
    <n v="28"/>
    <n v="100"/>
    <n v="6"/>
    <x v="2578"/>
    <d v="2004-09-08T00:00:00"/>
    <s v="Shipped"/>
    <n v="3"/>
    <n v="9"/>
    <x v="1"/>
    <x v="1"/>
    <n v="101"/>
    <s v="S700_2824"/>
    <s v="Scandinavian Gift Ideas"/>
    <s v="0695-34 6555"/>
    <s v="?kergatan 24"/>
    <m/>
    <s v="Boras"/>
    <m/>
    <s v="S-844 67"/>
    <x v="8"/>
    <s v="EMEA"/>
    <s v="Larsson"/>
    <s v="Maria"/>
    <s v="Medium"/>
  </r>
  <r>
    <n v="10304"/>
    <n v="40"/>
    <n v="100"/>
    <n v="1"/>
    <x v="2579"/>
    <d v="2004-10-11T00:00:00"/>
    <s v="Shipped"/>
    <n v="4"/>
    <n v="10"/>
    <x v="1"/>
    <x v="1"/>
    <n v="101"/>
    <s v="S700_2824"/>
    <s v="Auto Assoc. &amp; Cie."/>
    <s v="30.59.8555"/>
    <s v="67, avenue de l'Europe"/>
    <m/>
    <s v="Versailles"/>
    <m/>
    <n v="78000"/>
    <x v="1"/>
    <s v="EMEA"/>
    <s v="Tonini"/>
    <s v="Daniel"/>
    <s v="Medium"/>
  </r>
  <r>
    <n v="10313"/>
    <n v="30"/>
    <n v="99.13"/>
    <n v="9"/>
    <x v="2580"/>
    <d v="2004-10-22T00:00:00"/>
    <s v="Shipped"/>
    <n v="4"/>
    <n v="10"/>
    <x v="1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s v="Small"/>
  </r>
  <r>
    <n v="10324"/>
    <n v="34"/>
    <n v="100"/>
    <n v="5"/>
    <x v="2581"/>
    <d v="2004-11-05T00:00:00"/>
    <s v="Shipped"/>
    <n v="4"/>
    <n v="11"/>
    <x v="1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s v="Medium"/>
  </r>
  <r>
    <n v="10336"/>
    <n v="46"/>
    <n v="100"/>
    <n v="2"/>
    <x v="2582"/>
    <d v="2004-11-20T00:00:00"/>
    <s v="Shipped"/>
    <n v="4"/>
    <n v="11"/>
    <x v="1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s v="Large"/>
  </r>
  <r>
    <n v="10348"/>
    <n v="32"/>
    <n v="82.83"/>
    <n v="7"/>
    <x v="2583"/>
    <d v="2004-11-01T00:00:00"/>
    <s v="Shipped"/>
    <n v="4"/>
    <n v="11"/>
    <x v="1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s v="Small"/>
  </r>
  <r>
    <n v="10358"/>
    <n v="27"/>
    <n v="100"/>
    <n v="3"/>
    <x v="2584"/>
    <d v="2004-12-10T00:00:00"/>
    <s v="Shipped"/>
    <n v="4"/>
    <n v="12"/>
    <x v="1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s v="Medium"/>
  </r>
  <r>
    <n v="10371"/>
    <n v="34"/>
    <n v="100"/>
    <n v="3"/>
    <x v="2585"/>
    <d v="2005-01-23T00:00:00"/>
    <s v="Shipped"/>
    <n v="1"/>
    <n v="1"/>
    <x v="2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382"/>
    <n v="34"/>
    <n v="54.84"/>
    <n v="9"/>
    <x v="2586"/>
    <d v="2005-02-17T00:00:00"/>
    <s v="Shipped"/>
    <n v="1"/>
    <n v="2"/>
    <x v="2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411"/>
    <n v="34"/>
    <n v="100"/>
    <n v="4"/>
    <x v="2587"/>
    <d v="2005-05-01T00:00:00"/>
    <s v="Shipped"/>
    <n v="2"/>
    <n v="5"/>
    <x v="2"/>
    <x v="1"/>
    <n v="101"/>
    <s v="S700_2824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424"/>
    <n v="46"/>
    <n v="80.92"/>
    <n v="1"/>
    <x v="2588"/>
    <d v="2005-05-31T00:00:00"/>
    <s v="In Process"/>
    <n v="2"/>
    <n v="5"/>
    <x v="2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s v="Medium"/>
  </r>
  <r>
    <n v="10106"/>
    <n v="32"/>
    <n v="100"/>
    <n v="1"/>
    <x v="2589"/>
    <d v="2003-02-17T00:00:00"/>
    <s v="Shipped"/>
    <n v="1"/>
    <n v="2"/>
    <x v="0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24"/>
    <n v="100"/>
    <n v="7"/>
    <x v="2590"/>
    <d v="2003-04-29T00:00:00"/>
    <s v="Shipped"/>
    <n v="2"/>
    <n v="4"/>
    <x v="0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33"/>
    <n v="27"/>
    <n v="99.67"/>
    <n v="2"/>
    <x v="2591"/>
    <d v="2003-06-27T00:00:00"/>
    <s v="Shipped"/>
    <n v="2"/>
    <n v="6"/>
    <x v="0"/>
    <x v="4"/>
    <n v="118"/>
    <s v="S700_2834"/>
    <s v="Euro Shopping Channel"/>
    <s v="(91) 555 94 44"/>
    <s v="C/ Moralzarzal, 86"/>
    <m/>
    <s v="Madrid"/>
    <m/>
    <n v="28034"/>
    <x v="7"/>
    <s v="EMEA"/>
    <s v="Freyre"/>
    <s v="Diego"/>
    <s v="Small"/>
  </r>
  <r>
    <n v="10145"/>
    <n v="20"/>
    <n v="100"/>
    <n v="13"/>
    <x v="2592"/>
    <d v="2003-08-25T00:00:00"/>
    <s v="Shipped"/>
    <n v="3"/>
    <n v="8"/>
    <x v="0"/>
    <x v="4"/>
    <n v="118"/>
    <s v="S700_2834"/>
    <s v="Toys4GrownUps.com"/>
    <n v="6265557265"/>
    <s v="78934 Hillside Dr."/>
    <m/>
    <s v="Pasadena"/>
    <s v="CA"/>
    <n v="90003"/>
    <x v="0"/>
    <s v="NA"/>
    <s v="Young"/>
    <s v="Julie"/>
    <s v="Small"/>
  </r>
  <r>
    <n v="10168"/>
    <n v="36"/>
    <n v="100"/>
    <n v="8"/>
    <x v="2593"/>
    <d v="2003-10-28T00:00:00"/>
    <s v="Shipped"/>
    <n v="4"/>
    <n v="10"/>
    <x v="0"/>
    <x v="4"/>
    <n v="118"/>
    <s v="S700_2834"/>
    <s v="Technics Stores Inc."/>
    <n v="6505556809"/>
    <s v="9408 Furth Circle"/>
    <m/>
    <s v="Burlingame"/>
    <s v="CA"/>
    <n v="94217"/>
    <x v="0"/>
    <s v="NA"/>
    <s v="Hirano"/>
    <s v="Juri"/>
    <s v="Medium"/>
  </r>
  <r>
    <n v="10188"/>
    <n v="29"/>
    <n v="100"/>
    <n v="8"/>
    <x v="2594"/>
    <d v="2003-11-18T00:00:00"/>
    <s v="Shipped"/>
    <n v="4"/>
    <n v="11"/>
    <x v="0"/>
    <x v="4"/>
    <n v="118"/>
    <s v="S700_2834"/>
    <s v="Herkku Gifts"/>
    <s v="+47 2267 3215"/>
    <s v="Drammen 121, PR 744 Sentrum"/>
    <m/>
    <s v="Bergen"/>
    <m/>
    <s v="N 5804"/>
    <x v="2"/>
    <s v="EMEA"/>
    <s v="Oeztan"/>
    <s v="Veysel"/>
    <s v="Medium"/>
  </r>
  <r>
    <n v="10210"/>
    <n v="25"/>
    <n v="100"/>
    <n v="6"/>
    <x v="2595"/>
    <d v="2004-01-12T00:00:00"/>
    <s v="Shipped"/>
    <n v="1"/>
    <n v="1"/>
    <x v="1"/>
    <x v="4"/>
    <n v="118"/>
    <s v="S700_2834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9"/>
    <n v="100"/>
    <n v="8"/>
    <x v="2596"/>
    <d v="2004-02-20T00:00:00"/>
    <s v="Shipped"/>
    <n v="1"/>
    <n v="2"/>
    <x v="1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235"/>
    <n v="25"/>
    <n v="96.11"/>
    <n v="2"/>
    <x v="2597"/>
    <d v="2004-04-02T00:00:00"/>
    <s v="Shipped"/>
    <n v="2"/>
    <n v="4"/>
    <x v="1"/>
    <x v="4"/>
    <n v="118"/>
    <s v="S700_2834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100"/>
    <n v="3"/>
    <x v="2598"/>
    <d v="2004-05-11T00:00:00"/>
    <s v="Shipped"/>
    <n v="2"/>
    <n v="5"/>
    <x v="1"/>
    <x v="4"/>
    <n v="118"/>
    <s v="S700_2834"/>
    <s v="The Sharp Gifts Warehouse"/>
    <n v="4085553659"/>
    <s v="3086 Ingle Ln."/>
    <m/>
    <s v="San Jose"/>
    <s v="CA"/>
    <n v="94217"/>
    <x v="0"/>
    <s v="NA"/>
    <s v="Frick"/>
    <s v="Sue"/>
    <s v="Medium"/>
  </r>
  <r>
    <n v="10263"/>
    <n v="47"/>
    <n v="100"/>
    <n v="9"/>
    <x v="2599"/>
    <d v="2004-06-28T00:00:00"/>
    <s v="Shipped"/>
    <n v="2"/>
    <n v="6"/>
    <x v="1"/>
    <x v="4"/>
    <n v="118"/>
    <s v="S700_2834"/>
    <s v="Gift Depot Inc."/>
    <n v="2035552570"/>
    <s v="25593 South Bay Ln."/>
    <m/>
    <s v="Bridgewater"/>
    <s v="CT"/>
    <n v="97562"/>
    <x v="0"/>
    <s v="NA"/>
    <s v="King"/>
    <s v="Julie"/>
    <s v="Medium"/>
  </r>
  <r>
    <n v="10275"/>
    <n v="48"/>
    <n v="100"/>
    <n v="8"/>
    <x v="2600"/>
    <d v="2004-07-23T00:00:00"/>
    <s v="Shipped"/>
    <n v="3"/>
    <n v="7"/>
    <x v="1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s v="Medium"/>
  </r>
  <r>
    <n v="10285"/>
    <n v="45"/>
    <n v="100"/>
    <n v="13"/>
    <x v="2601"/>
    <d v="2004-08-27T00:00:00"/>
    <s v="Shipped"/>
    <n v="3"/>
    <n v="8"/>
    <x v="1"/>
    <x v="4"/>
    <n v="118"/>
    <s v="S700_2834"/>
    <s v="Marta's Replicas Co."/>
    <n v="6175558555"/>
    <s v="39323 Spinnaker Dr."/>
    <m/>
    <s v="Cambridge"/>
    <s v="MA"/>
    <n v="51247"/>
    <x v="0"/>
    <s v="NA"/>
    <s v="Hernandez"/>
    <s v="Marta"/>
    <s v="Medium"/>
  </r>
  <r>
    <n v="10297"/>
    <n v="35"/>
    <n v="100"/>
    <n v="3"/>
    <x v="2602"/>
    <d v="2004-09-16T00:00:00"/>
    <s v="Shipped"/>
    <n v="3"/>
    <n v="9"/>
    <x v="1"/>
    <x v="4"/>
    <n v="118"/>
    <s v="S700_2834"/>
    <s v="Clover Collections, Co."/>
    <s v="+353 1862 1555"/>
    <s v="25 Maiden Lane"/>
    <s v="Floor No. 4"/>
    <s v="Dublin"/>
    <m/>
    <n v="2"/>
    <x v="18"/>
    <s v="EMEA"/>
    <s v="Cassidy"/>
    <s v="Dean"/>
    <s v="Medium"/>
  </r>
  <r>
    <n v="10308"/>
    <n v="31"/>
    <n v="100"/>
    <n v="6"/>
    <x v="2603"/>
    <d v="2004-10-15T00:00:00"/>
    <s v="Shipped"/>
    <n v="4"/>
    <n v="10"/>
    <x v="1"/>
    <x v="4"/>
    <n v="118"/>
    <s v="S700_2834"/>
    <s v="Mini Classics"/>
    <n v="9145554562"/>
    <s v="3758 North Pendale Street"/>
    <m/>
    <s v="White Plains"/>
    <s v="NY"/>
    <n v="24067"/>
    <x v="0"/>
    <s v="NA"/>
    <s v="Frick"/>
    <s v="Steve"/>
    <s v="Medium"/>
  </r>
  <r>
    <n v="10318"/>
    <n v="50"/>
    <n v="100"/>
    <n v="8"/>
    <x v="2604"/>
    <d v="2004-11-02T00:00:00"/>
    <s v="Shipped"/>
    <n v="4"/>
    <n v="11"/>
    <x v="1"/>
    <x v="4"/>
    <n v="118"/>
    <s v="S700_2834"/>
    <s v="Diecast Classics Inc."/>
    <n v="2155551555"/>
    <s v="7586 Pompton St."/>
    <m/>
    <s v="Allentown"/>
    <s v="PA"/>
    <n v="70267"/>
    <x v="0"/>
    <s v="NA"/>
    <s v="Yu"/>
    <s v="Kyung"/>
    <s v="Large"/>
  </r>
  <r>
    <n v="10328"/>
    <n v="33"/>
    <n v="100"/>
    <n v="11"/>
    <x v="2605"/>
    <d v="2004-11-12T00:00:00"/>
    <s v="Shipped"/>
    <n v="4"/>
    <n v="11"/>
    <x v="1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s v="Medium"/>
  </r>
  <r>
    <n v="10340"/>
    <n v="29"/>
    <n v="100"/>
    <n v="6"/>
    <x v="2606"/>
    <d v="2004-11-24T00:00:00"/>
    <s v="Shipped"/>
    <n v="4"/>
    <n v="11"/>
    <x v="1"/>
    <x v="4"/>
    <n v="118"/>
    <s v="S700_2834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353"/>
    <n v="48"/>
    <n v="68.8"/>
    <n v="4"/>
    <x v="2607"/>
    <d v="2004-12-04T00:00:00"/>
    <s v="Shipped"/>
    <n v="4"/>
    <n v="12"/>
    <x v="1"/>
    <x v="4"/>
    <n v="118"/>
    <s v="S700_2834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44"/>
    <n v="72.42"/>
    <n v="5"/>
    <x v="2608"/>
    <d v="2004-12-17T00:00:00"/>
    <s v="Shipped"/>
    <n v="4"/>
    <n v="12"/>
    <x v="1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25"/>
    <n v="66.73"/>
    <n v="10"/>
    <x v="2609"/>
    <d v="2005-02-03T00:00:00"/>
    <s v="Shipped"/>
    <n v="1"/>
    <n v="2"/>
    <x v="2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s v="Small"/>
  </r>
  <r>
    <n v="10388"/>
    <n v="50"/>
    <n v="100"/>
    <n v="3"/>
    <x v="2610"/>
    <d v="2005-03-03T00:00:00"/>
    <s v="Shipped"/>
    <n v="1"/>
    <n v="3"/>
    <x v="2"/>
    <x v="4"/>
    <n v="118"/>
    <s v="S700_2834"/>
    <s v="FunGiftIdeas.com"/>
    <n v="5085552555"/>
    <s v="1785 First Street"/>
    <m/>
    <s v="New Bedford"/>
    <s v="MA"/>
    <n v="50553"/>
    <x v="0"/>
    <s v="NA"/>
    <s v="Benitez"/>
    <s v="Violeta"/>
    <s v="Large"/>
  </r>
  <r>
    <n v="10398"/>
    <n v="23"/>
    <n v="100"/>
    <n v="9"/>
    <x v="2611"/>
    <d v="2005-03-30T00:00:00"/>
    <s v="Shipped"/>
    <n v="1"/>
    <n v="3"/>
    <x v="2"/>
    <x v="4"/>
    <n v="118"/>
    <s v="S700_2834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21"/>
    <n v="96.11"/>
    <n v="2"/>
    <x v="2612"/>
    <d v="2005-04-03T00:00:00"/>
    <s v="On Hold"/>
    <n v="2"/>
    <n v="4"/>
    <x v="2"/>
    <x v="4"/>
    <n v="118"/>
    <s v="S700_2834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41"/>
    <n v="100"/>
    <n v="3"/>
    <x v="2613"/>
    <d v="2005-05-10T00:00:00"/>
    <s v="Shipped"/>
    <n v="2"/>
    <n v="5"/>
    <x v="2"/>
    <x v="4"/>
    <n v="118"/>
    <s v="S700_2834"/>
    <s v="L'ordine Souveniers"/>
    <s v="0522-556555"/>
    <s v="Strada Provinciale 124"/>
    <m/>
    <s v="Reggio Emilia"/>
    <m/>
    <n v="42100"/>
    <x v="12"/>
    <s v="EMEA"/>
    <s v="Moroni"/>
    <s v="Maurizio"/>
    <s v="Medium"/>
  </r>
  <r>
    <n v="10106"/>
    <n v="44"/>
    <n v="74.400000000000006"/>
    <n v="8"/>
    <x v="2614"/>
    <d v="2003-02-17T00:00:00"/>
    <s v="Shipped"/>
    <n v="1"/>
    <n v="2"/>
    <x v="0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s v="Medium"/>
  </r>
  <r>
    <n v="10120"/>
    <n v="43"/>
    <n v="76"/>
    <n v="14"/>
    <x v="2615"/>
    <d v="2003-04-29T00:00:00"/>
    <s v="Shipped"/>
    <n v="2"/>
    <n v="4"/>
    <x v="0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Medium"/>
  </r>
  <r>
    <n v="10143"/>
    <n v="28"/>
    <n v="96"/>
    <n v="3"/>
    <x v="202"/>
    <d v="2003-08-10T00:00:00"/>
    <s v="Shipped"/>
    <n v="3"/>
    <n v="8"/>
    <x v="0"/>
    <x v="4"/>
    <n v="80"/>
    <s v="S700_3167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3"/>
    <n v="86.4"/>
    <n v="1"/>
    <x v="2616"/>
    <d v="2003-10-06T00:00:00"/>
    <s v="Shipped"/>
    <n v="4"/>
    <n v="10"/>
    <x v="0"/>
    <x v="4"/>
    <n v="80"/>
    <s v="S700_3167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48"/>
    <n v="96"/>
    <n v="15"/>
    <x v="2617"/>
    <d v="2003-10-28T00:00:00"/>
    <s v="Shipped"/>
    <n v="4"/>
    <n v="10"/>
    <x v="0"/>
    <x v="4"/>
    <n v="80"/>
    <s v="S700_3167"/>
    <s v="Technics Stores Inc."/>
    <n v="6505556809"/>
    <s v="9408 Furth Circle"/>
    <m/>
    <s v="Burlingame"/>
    <s v="CA"/>
    <n v="94217"/>
    <x v="0"/>
    <s v="NA"/>
    <s v="Hirano"/>
    <s v="Juri"/>
    <s v="Medium"/>
  </r>
  <r>
    <n v="10199"/>
    <n v="38"/>
    <n v="82.4"/>
    <n v="3"/>
    <x v="2618"/>
    <d v="2003-12-01T00:00:00"/>
    <s v="Shipped"/>
    <n v="4"/>
    <n v="12"/>
    <x v="0"/>
    <x v="4"/>
    <n v="80"/>
    <s v="S700_3167"/>
    <s v="West Coast Collectables Co."/>
    <n v="3105553722"/>
    <s v="3675 Furth Circle"/>
    <m/>
    <s v="Burbank"/>
    <s v="CA"/>
    <n v="94019"/>
    <x v="0"/>
    <s v="NA"/>
    <s v="Thompson"/>
    <s v="Steve"/>
    <s v="Medium"/>
  </r>
  <r>
    <n v="10210"/>
    <n v="31"/>
    <n v="86.4"/>
    <n v="13"/>
    <x v="2619"/>
    <d v="2004-01-12T00:00:00"/>
    <s v="Shipped"/>
    <n v="1"/>
    <n v="1"/>
    <x v="1"/>
    <x v="4"/>
    <n v="80"/>
    <s v="S700_3167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3"/>
    <n v="26"/>
    <n v="67.2"/>
    <n v="15"/>
    <x v="2620"/>
    <d v="2004-02-20T00:00:00"/>
    <s v="Shipped"/>
    <n v="1"/>
    <n v="2"/>
    <x v="1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s v="Small"/>
  </r>
  <r>
    <n v="10235"/>
    <n v="32"/>
    <n v="92"/>
    <n v="9"/>
    <x v="2621"/>
    <d v="2004-04-02T00:00:00"/>
    <s v="Shipped"/>
    <n v="2"/>
    <n v="4"/>
    <x v="1"/>
    <x v="4"/>
    <n v="80"/>
    <s v="S700_3167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44"/>
    <n v="67.2"/>
    <n v="10"/>
    <x v="2622"/>
    <d v="2004-05-11T00:00:00"/>
    <s v="Shipped"/>
    <n v="2"/>
    <n v="5"/>
    <x v="1"/>
    <x v="4"/>
    <n v="80"/>
    <s v="S700_3167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27"/>
    <n v="76"/>
    <n v="5"/>
    <x v="2623"/>
    <d v="2004-06-24T00:00:00"/>
    <s v="Cancelled"/>
    <n v="2"/>
    <n v="6"/>
    <x v="1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43"/>
    <n v="73.599999999999994"/>
    <n v="15"/>
    <x v="2624"/>
    <d v="2004-07-23T00:00:00"/>
    <s v="Shipped"/>
    <n v="3"/>
    <n v="7"/>
    <x v="1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s v="Medium"/>
  </r>
  <r>
    <n v="10284"/>
    <n v="25"/>
    <n v="69.599999999999994"/>
    <n v="7"/>
    <x v="2625"/>
    <d v="2004-08-21T00:00:00"/>
    <s v="Shipped"/>
    <n v="3"/>
    <n v="8"/>
    <x v="1"/>
    <x v="4"/>
    <n v="80"/>
    <s v="S700_3167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22"/>
    <n v="80.8"/>
    <n v="3"/>
    <x v="2626"/>
    <d v="2004-09-15T00:00:00"/>
    <s v="Shipped"/>
    <n v="3"/>
    <n v="9"/>
    <x v="1"/>
    <x v="4"/>
    <n v="80"/>
    <s v="S700_3167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8"/>
    <n v="21"/>
    <n v="87.2"/>
    <n v="13"/>
    <x v="2627"/>
    <d v="2004-10-15T00:00:00"/>
    <s v="Shipped"/>
    <n v="4"/>
    <n v="10"/>
    <x v="1"/>
    <x v="4"/>
    <n v="80"/>
    <s v="S700_3167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48"/>
    <n v="75.2"/>
    <n v="5"/>
    <x v="2628"/>
    <d v="2004-11-01T00:00:00"/>
    <s v="Shipped"/>
    <n v="4"/>
    <n v="11"/>
    <x v="1"/>
    <x v="4"/>
    <n v="80"/>
    <s v="S700_3167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328"/>
    <n v="33"/>
    <n v="64"/>
    <n v="13"/>
    <x v="2629"/>
    <d v="2004-11-12T00:00:00"/>
    <s v="Shipped"/>
    <n v="4"/>
    <n v="11"/>
    <x v="1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s v="Small"/>
  </r>
  <r>
    <n v="10341"/>
    <n v="34"/>
    <n v="100"/>
    <n v="5"/>
    <x v="2630"/>
    <d v="2004-11-24T00:00:00"/>
    <s v="Shipped"/>
    <n v="4"/>
    <n v="11"/>
    <x v="1"/>
    <x v="4"/>
    <n v="80"/>
    <s v="S700_3167"/>
    <s v="Salzburg Collectables"/>
    <s v="6562-9555"/>
    <s v="Geislweg 14"/>
    <m/>
    <s v="Salzburg"/>
    <m/>
    <n v="5020"/>
    <x v="5"/>
    <s v="EMEA"/>
    <s v="Pipps"/>
    <s v="Georg"/>
    <s v="Medium"/>
  </r>
  <r>
    <n v="10353"/>
    <n v="43"/>
    <n v="81.95"/>
    <n v="6"/>
    <x v="2631"/>
    <d v="2004-12-04T00:00:00"/>
    <s v="Shipped"/>
    <n v="4"/>
    <n v="12"/>
    <x v="1"/>
    <x v="4"/>
    <n v="80"/>
    <s v="S700_3167"/>
    <s v="Gift Ideas Corp."/>
    <n v="2035554407"/>
    <s v="2440 Pompton St."/>
    <m/>
    <s v="Glendale"/>
    <s v="CT"/>
    <n v="97561"/>
    <x v="0"/>
    <s v="NA"/>
    <s v="Lewis"/>
    <s v="Dan"/>
    <s v="Medium"/>
  </r>
  <r>
    <n v="10361"/>
    <n v="44"/>
    <n v="100"/>
    <n v="10"/>
    <x v="2632"/>
    <d v="2004-12-17T00:00:00"/>
    <s v="Shipped"/>
    <n v="4"/>
    <n v="12"/>
    <x v="1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5"/>
    <n v="44"/>
    <n v="100"/>
    <n v="11"/>
    <x v="2633"/>
    <d v="2005-02-03T00:00:00"/>
    <s v="Shipped"/>
    <n v="1"/>
    <n v="2"/>
    <x v="2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s v="Medium"/>
  </r>
  <r>
    <n v="10386"/>
    <n v="32"/>
    <n v="94.34"/>
    <n v="17"/>
    <x v="2634"/>
    <d v="2005-03-01T00:00:00"/>
    <s v="Resolved"/>
    <n v="1"/>
    <n v="3"/>
    <x v="2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29"/>
    <n v="65.599999999999994"/>
    <n v="10"/>
    <x v="2635"/>
    <d v="2005-03-30T00:00:00"/>
    <s v="Shipped"/>
    <n v="1"/>
    <n v="3"/>
    <x v="2"/>
    <x v="4"/>
    <n v="80"/>
    <s v="S700_3167"/>
    <s v="Reims Collectables"/>
    <s v="26.47.1555"/>
    <s v="59 rue de l'Abbaye"/>
    <m/>
    <s v="Reims"/>
    <m/>
    <n v="51100"/>
    <x v="1"/>
    <s v="EMEA"/>
    <s v="Henriot"/>
    <s v="Paul"/>
    <s v="Small"/>
  </r>
  <r>
    <n v="10401"/>
    <n v="77"/>
    <n v="92"/>
    <n v="9"/>
    <x v="2636"/>
    <d v="2005-04-03T00:00:00"/>
    <s v="On Hold"/>
    <n v="2"/>
    <n v="4"/>
    <x v="2"/>
    <x v="4"/>
    <n v="80"/>
    <s v="S700_3167"/>
    <s v="Tekni Collectables Inc."/>
    <n v="2015559350"/>
    <s v="7476 Moss Rd."/>
    <m/>
    <s v="Newark"/>
    <s v="NJ"/>
    <n v="94019"/>
    <x v="0"/>
    <s v="NA"/>
    <s v="Brown"/>
    <s v="William"/>
    <s v="Large"/>
  </r>
  <r>
    <n v="10416"/>
    <n v="39"/>
    <n v="67.2"/>
    <n v="10"/>
    <x v="1683"/>
    <d v="2005-05-10T00:00:00"/>
    <s v="Shipped"/>
    <n v="2"/>
    <n v="5"/>
    <x v="2"/>
    <x v="4"/>
    <n v="80"/>
    <s v="S700_3167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5"/>
    <n v="39"/>
    <n v="81.14"/>
    <n v="6"/>
    <x v="2637"/>
    <d v="2003-02-11T00:00:00"/>
    <s v="Shipped"/>
    <n v="1"/>
    <n v="2"/>
    <x v="0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s v="Medium"/>
  </r>
  <r>
    <n v="10118"/>
    <n v="36"/>
    <n v="100"/>
    <n v="1"/>
    <x v="2638"/>
    <d v="2003-04-21T00:00:00"/>
    <s v="Shipped"/>
    <n v="2"/>
    <n v="4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129"/>
    <n v="42"/>
    <n v="91.15"/>
    <n v="6"/>
    <x v="2639"/>
    <d v="2003-06-12T00:00:00"/>
    <s v="Shipped"/>
    <n v="2"/>
    <n v="6"/>
    <x v="0"/>
    <x v="5"/>
    <n v="100"/>
    <s v="S700_3505"/>
    <s v="Stylish Desk Decors, Co."/>
    <s v="(171) 555-0297"/>
    <s v="35 King George"/>
    <m/>
    <s v="London"/>
    <m/>
    <s v="WX3 6FW"/>
    <x v="6"/>
    <s v="EMEA"/>
    <s v="Brown"/>
    <s v="Ann"/>
    <s v="Medium"/>
  </r>
  <r>
    <n v="10142"/>
    <n v="21"/>
    <n v="100"/>
    <n v="3"/>
    <x v="2640"/>
    <d v="2003-08-08T00:00:00"/>
    <s v="Shipped"/>
    <n v="3"/>
    <n v="8"/>
    <x v="0"/>
    <x v="5"/>
    <n v="100"/>
    <s v="S700_3505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50"/>
    <n v="88.15"/>
    <n v="2"/>
    <x v="2641"/>
    <d v="2003-09-28T00:00:00"/>
    <s v="Shipped"/>
    <n v="3"/>
    <n v="9"/>
    <x v="0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24"/>
    <n v="100"/>
    <n v="13"/>
    <x v="2642"/>
    <d v="2003-10-23T00:00:00"/>
    <s v="Cancelled"/>
    <n v="4"/>
    <n v="10"/>
    <x v="0"/>
    <x v="5"/>
    <n v="100"/>
    <s v="S700_3505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4"/>
    <n v="92.16"/>
    <n v="4"/>
    <x v="2643"/>
    <d v="2003-11-07T00:00:00"/>
    <s v="Shipped"/>
    <n v="4"/>
    <n v="11"/>
    <x v="0"/>
    <x v="5"/>
    <n v="100"/>
    <s v="S700_3505"/>
    <s v="CAF Imports"/>
    <s v="+34 913 728 555"/>
    <s v="Merchants House, 27-30 Merchant's Quay"/>
    <m/>
    <s v="Madrid"/>
    <m/>
    <n v="28023"/>
    <x v="7"/>
    <s v="EMEA"/>
    <s v="Fernandez"/>
    <s v="Jesus"/>
    <s v="Medium"/>
  </r>
  <r>
    <n v="10185"/>
    <n v="37"/>
    <n v="100"/>
    <n v="4"/>
    <x v="2644"/>
    <d v="2003-11-14T00:00:00"/>
    <s v="Shipped"/>
    <n v="4"/>
    <n v="11"/>
    <x v="0"/>
    <x v="5"/>
    <n v="100"/>
    <s v="S700_3505"/>
    <s v="Mini Creations Ltd."/>
    <n v="5085559555"/>
    <s v="4575 Hillside Dr."/>
    <m/>
    <s v="New Bedford"/>
    <s v="MA"/>
    <n v="50553"/>
    <x v="0"/>
    <s v="NA"/>
    <s v="Tam"/>
    <s v="Wing C"/>
    <s v="Medium"/>
  </r>
  <r>
    <n v="10197"/>
    <n v="27"/>
    <n v="92.16"/>
    <n v="10"/>
    <x v="2645"/>
    <d v="2003-11-26T00:00:00"/>
    <s v="Shipped"/>
    <n v="4"/>
    <n v="11"/>
    <x v="0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37"/>
    <n v="100"/>
    <n v="4"/>
    <x v="2646"/>
    <d v="2004-01-02T00:00:00"/>
    <s v="Shipped"/>
    <n v="1"/>
    <n v="1"/>
    <x v="1"/>
    <x v="5"/>
    <n v="100"/>
    <s v="S700_3505"/>
    <s v="Saveley &amp; Henriot, Co."/>
    <s v="78.32.5555"/>
    <s v="2, rue du Commerce"/>
    <m/>
    <s v="Lyon"/>
    <m/>
    <n v="69004"/>
    <x v="1"/>
    <s v="EMEA"/>
    <s v="Saveley"/>
    <s v="Mary"/>
    <s v="Medium"/>
  </r>
  <r>
    <n v="10222"/>
    <n v="38"/>
    <n v="100"/>
    <n v="16"/>
    <x v="2647"/>
    <d v="2004-02-19T00:00:00"/>
    <s v="Shipped"/>
    <n v="1"/>
    <n v="2"/>
    <x v="1"/>
    <x v="5"/>
    <n v="100"/>
    <s v="S700_3505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2"/>
    <n v="48"/>
    <n v="96.16"/>
    <n v="1"/>
    <x v="2648"/>
    <d v="2004-03-20T00:00:00"/>
    <s v="Shipped"/>
    <n v="1"/>
    <n v="3"/>
    <x v="1"/>
    <x v="5"/>
    <n v="100"/>
    <s v="S700_3505"/>
    <s v="giftsbymail.co.uk"/>
    <s v="(198) 555-8888"/>
    <s v="Garden House Crowther Way"/>
    <m/>
    <s v="Cowes"/>
    <s v="Isle of Wight"/>
    <s v="PO31 7PJ"/>
    <x v="6"/>
    <s v="EMEA"/>
    <s v="Bennett"/>
    <s v="Helen"/>
    <s v="Medium"/>
  </r>
  <r>
    <n v="10248"/>
    <n v="30"/>
    <n v="100"/>
    <n v="7"/>
    <x v="2649"/>
    <d v="2004-05-07T00:00:00"/>
    <s v="Cancelled"/>
    <n v="2"/>
    <n v="5"/>
    <x v="1"/>
    <x v="5"/>
    <n v="100"/>
    <s v="S700_3505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25"/>
    <n v="88.15"/>
    <n v="5"/>
    <x v="2650"/>
    <d v="2004-06-17T00:00:00"/>
    <s v="Shipped"/>
    <n v="2"/>
    <n v="6"/>
    <x v="1"/>
    <x v="5"/>
    <n v="100"/>
    <s v="S700_3505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40"/>
    <n v="86.15"/>
    <n v="8"/>
    <x v="2651"/>
    <d v="2004-07-21T00:00:00"/>
    <s v="Shipped"/>
    <n v="3"/>
    <n v="7"/>
    <x v="1"/>
    <x v="5"/>
    <n v="100"/>
    <s v="S700_3505"/>
    <s v="Petit Auto"/>
    <s v="(02) 5554 67"/>
    <s v="Rue Joseph-Bens 532"/>
    <m/>
    <s v="Bruxelles"/>
    <m/>
    <s v="B-1180"/>
    <x v="14"/>
    <s v="EMEA"/>
    <s v="Dewey"/>
    <s v="Catherine"/>
    <s v="Medium"/>
  </r>
  <r>
    <n v="10283"/>
    <n v="22"/>
    <n v="88.15"/>
    <n v="10"/>
    <x v="2652"/>
    <d v="2004-08-20T00:00:00"/>
    <s v="Shipped"/>
    <n v="3"/>
    <n v="8"/>
    <x v="1"/>
    <x v="5"/>
    <n v="100"/>
    <s v="S700_3505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5"/>
    <n v="34"/>
    <n v="100"/>
    <n v="5"/>
    <x v="2653"/>
    <d v="2004-09-10T00:00:00"/>
    <s v="Shipped"/>
    <n v="3"/>
    <n v="9"/>
    <x v="1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s v="Medium"/>
  </r>
  <r>
    <n v="10306"/>
    <n v="32"/>
    <n v="90.15"/>
    <n v="4"/>
    <x v="2654"/>
    <d v="2004-10-14T00:00:00"/>
    <s v="Shipped"/>
    <n v="4"/>
    <n v="10"/>
    <x v="1"/>
    <x v="5"/>
    <n v="100"/>
    <s v="S700_3505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31"/>
    <n v="86.15"/>
    <n v="3"/>
    <x v="2655"/>
    <d v="2004-10-29T00:00:00"/>
    <s v="Shipped"/>
    <n v="4"/>
    <n v="10"/>
    <x v="1"/>
    <x v="5"/>
    <n v="100"/>
    <s v="S700_3505"/>
    <s v="La Rochelle Gifts"/>
    <s v="40.67.8555"/>
    <s v="67, rue des Cinquante Otages"/>
    <m/>
    <s v="Nantes"/>
    <m/>
    <n v="44000"/>
    <x v="1"/>
    <s v="EMEA"/>
    <s v="Labrune"/>
    <s v="Janine"/>
    <s v="Small"/>
  </r>
  <r>
    <n v="10327"/>
    <n v="43"/>
    <n v="80"/>
    <n v="2"/>
    <x v="2656"/>
    <d v="2004-11-10T00:00:00"/>
    <s v="Resolved"/>
    <n v="4"/>
    <n v="11"/>
    <x v="1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1"/>
    <n v="89.38"/>
    <n v="1"/>
    <x v="2657"/>
    <d v="2004-11-21T00:00:00"/>
    <s v="Shipped"/>
    <n v="4"/>
    <n v="11"/>
    <x v="1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31"/>
    <n v="77.34"/>
    <n v="13"/>
    <x v="2658"/>
    <d v="2004-12-02T00:00:00"/>
    <s v="Shipped"/>
    <n v="4"/>
    <n v="12"/>
    <x v="1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34"/>
    <n v="96.34"/>
    <n v="2"/>
    <x v="2659"/>
    <d v="2005-01-31T00:00:00"/>
    <s v="Shipped"/>
    <n v="1"/>
    <n v="1"/>
    <x v="2"/>
    <x v="5"/>
    <n v="100"/>
    <s v="S700_3505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45"/>
    <n v="92.08"/>
    <n v="2"/>
    <x v="2660"/>
    <d v="2005-03-01T00:00:00"/>
    <s v="Resolved"/>
    <n v="1"/>
    <n v="3"/>
    <x v="2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48"/>
    <n v="100"/>
    <n v="3"/>
    <x v="2661"/>
    <d v="2005-03-28T00:00:00"/>
    <s v="Shipped"/>
    <n v="1"/>
    <n v="3"/>
    <x v="2"/>
    <x v="5"/>
    <n v="100"/>
    <s v="S700_3505"/>
    <s v="Alpha Cognac"/>
    <s v="61.77.6555"/>
    <s v="1 rue Alsace-Lorraine"/>
    <m/>
    <s v="Toulouse"/>
    <m/>
    <n v="31000"/>
    <x v="1"/>
    <s v="EMEA"/>
    <s v="Roulet"/>
    <s v="Annette"/>
    <s v="Medium"/>
  </r>
  <r>
    <n v="10414"/>
    <n v="28"/>
    <n v="100"/>
    <n v="7"/>
    <x v="2662"/>
    <d v="2005-05-06T00:00:00"/>
    <s v="On Hold"/>
    <n v="2"/>
    <n v="5"/>
    <x v="2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s v="Medium"/>
  </r>
  <r>
    <n v="10105"/>
    <n v="22"/>
    <n v="100"/>
    <n v="7"/>
    <x v="2663"/>
    <d v="2003-02-11T00:00:00"/>
    <s v="Shipped"/>
    <n v="1"/>
    <n v="2"/>
    <x v="0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45"/>
    <n v="83.42"/>
    <n v="1"/>
    <x v="2664"/>
    <d v="2003-04-16T00:00:00"/>
    <s v="Shipped"/>
    <n v="2"/>
    <n v="4"/>
    <x v="0"/>
    <x v="5"/>
    <n v="99"/>
    <s v="S700_3962"/>
    <s v="Dragon Souveniers, Ltd."/>
    <s v="+65 221 7555"/>
    <s v="Bronz Sok., Bronz Apt. 3/6 Tesvikiye"/>
    <m/>
    <s v="Singapore"/>
    <m/>
    <n v="79903"/>
    <x v="9"/>
    <s v="Japan"/>
    <s v="Natividad"/>
    <s v="Eric"/>
    <s v="Medium"/>
  </r>
  <r>
    <n v="10129"/>
    <n v="30"/>
    <n v="85.41"/>
    <n v="7"/>
    <x v="2665"/>
    <d v="2003-06-12T00:00:00"/>
    <s v="Shipped"/>
    <n v="2"/>
    <n v="6"/>
    <x v="0"/>
    <x v="5"/>
    <n v="99"/>
    <s v="S700_3962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38"/>
    <n v="85.41"/>
    <n v="4"/>
    <x v="2666"/>
    <d v="2003-08-08T00:00:00"/>
    <s v="Shipped"/>
    <n v="3"/>
    <n v="8"/>
    <x v="0"/>
    <x v="5"/>
    <n v="99"/>
    <s v="S700_3962"/>
    <s v="Mini Gifts Distributors Ltd."/>
    <n v="4155551450"/>
    <s v="5677 Strong St."/>
    <m/>
    <s v="San Rafael"/>
    <s v="CA"/>
    <n v="97562"/>
    <x v="0"/>
    <s v="NA"/>
    <s v="Nelson"/>
    <s v="Valarie"/>
    <s v="Medium"/>
  </r>
  <r>
    <n v="10153"/>
    <n v="20"/>
    <n v="100"/>
    <n v="3"/>
    <x v="2667"/>
    <d v="2003-09-28T00:00:00"/>
    <s v="Shipped"/>
    <n v="3"/>
    <n v="9"/>
    <x v="0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s v="Small"/>
  </r>
  <r>
    <n v="10167"/>
    <n v="28"/>
    <n v="100"/>
    <n v="14"/>
    <x v="45"/>
    <d v="2003-10-23T00:00:00"/>
    <s v="Cancelled"/>
    <n v="4"/>
    <n v="10"/>
    <x v="0"/>
    <x v="5"/>
    <n v="99"/>
    <s v="S700_3962"/>
    <s v="Scandinavian Gift Ideas"/>
    <s v="0695-34 6555"/>
    <s v="?kergatan 24"/>
    <m/>
    <s v="Boras"/>
    <m/>
    <s v="S-844 67"/>
    <x v="8"/>
    <s v="EMEA"/>
    <s v="Larsson"/>
    <s v="Maria"/>
    <s v="Medium"/>
  </r>
  <r>
    <n v="10177"/>
    <n v="24"/>
    <n v="100"/>
    <n v="5"/>
    <x v="2668"/>
    <d v="2003-11-07T00:00:00"/>
    <s v="Shipped"/>
    <n v="4"/>
    <n v="11"/>
    <x v="0"/>
    <x v="5"/>
    <n v="99"/>
    <s v="S700_3962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2"/>
    <n v="79.45"/>
    <n v="5"/>
    <x v="2669"/>
    <d v="2003-11-14T00:00:00"/>
    <s v="Shipped"/>
    <n v="4"/>
    <n v="11"/>
    <x v="0"/>
    <x v="5"/>
    <n v="99"/>
    <s v="S700_3962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35"/>
    <n v="93.35"/>
    <n v="11"/>
    <x v="2670"/>
    <d v="2003-11-26T00:00:00"/>
    <s v="Shipped"/>
    <n v="4"/>
    <n v="11"/>
    <x v="0"/>
    <x v="5"/>
    <n v="99"/>
    <s v="S700_3962"/>
    <s v="Enaco Distributors"/>
    <s v="(93) 203 4555"/>
    <s v="Rambla de Catalu¤a, 23"/>
    <m/>
    <s v="Barcelona"/>
    <m/>
    <n v="8022"/>
    <x v="7"/>
    <s v="EMEA"/>
    <s v="Saavedra"/>
    <s v="Eduardo"/>
    <s v="Medium"/>
  </r>
  <r>
    <n v="10208"/>
    <n v="33"/>
    <n v="85.41"/>
    <n v="5"/>
    <x v="2671"/>
    <d v="2004-01-02T00:00:00"/>
    <s v="Shipped"/>
    <n v="1"/>
    <n v="1"/>
    <x v="1"/>
    <x v="5"/>
    <n v="99"/>
    <s v="S700_3962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1"/>
    <n v="95.34"/>
    <n v="17"/>
    <x v="2672"/>
    <d v="2004-02-19T00:00:00"/>
    <s v="Shipped"/>
    <n v="1"/>
    <n v="2"/>
    <x v="1"/>
    <x v="5"/>
    <n v="99"/>
    <s v="S700_3962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2"/>
    <n v="35"/>
    <n v="82.43"/>
    <n v="2"/>
    <x v="2673"/>
    <d v="2004-03-20T00:00:00"/>
    <s v="Shipped"/>
    <n v="1"/>
    <n v="3"/>
    <x v="1"/>
    <x v="5"/>
    <n v="99"/>
    <s v="S700_396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35"/>
    <n v="90.37"/>
    <n v="8"/>
    <x v="2674"/>
    <d v="2004-05-07T00:00:00"/>
    <s v="Cancelled"/>
    <n v="2"/>
    <n v="5"/>
    <x v="1"/>
    <x v="5"/>
    <n v="99"/>
    <s v="S700_3962"/>
    <s v="Land of Toys Inc."/>
    <n v="2125557818"/>
    <s v="897 Long Airport Avenue"/>
    <m/>
    <s v="NYC"/>
    <s v="NY"/>
    <n v="10022"/>
    <x v="0"/>
    <s v="NA"/>
    <s v="Yu"/>
    <s v="Kwai"/>
    <s v="Medium"/>
  </r>
  <r>
    <n v="10261"/>
    <n v="50"/>
    <n v="81.430000000000007"/>
    <n v="6"/>
    <x v="2675"/>
    <d v="2004-06-17T00:00:00"/>
    <s v="Shipped"/>
    <n v="2"/>
    <n v="6"/>
    <x v="1"/>
    <x v="5"/>
    <n v="99"/>
    <s v="S700_3962"/>
    <s v="Quebec Home Shopping Network"/>
    <s v="(514) 555-8054"/>
    <s v="43 rue St. Laurent"/>
    <m/>
    <s v="Montreal"/>
    <s v="Quebec"/>
    <s v="H1J 1C3"/>
    <x v="10"/>
    <s v="NA"/>
    <s v="Fresnisre"/>
    <s v="Jean"/>
    <s v="Medium"/>
  </r>
  <r>
    <n v="10273"/>
    <n v="26"/>
    <n v="100"/>
    <n v="9"/>
    <x v="2676"/>
    <d v="2004-07-21T00:00:00"/>
    <s v="Shipped"/>
    <n v="3"/>
    <n v="7"/>
    <x v="1"/>
    <x v="5"/>
    <n v="99"/>
    <s v="S700_3962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8"/>
    <n v="89.38"/>
    <n v="11"/>
    <x v="2677"/>
    <d v="2004-08-20T00:00:00"/>
    <s v="Shipped"/>
    <n v="3"/>
    <n v="8"/>
    <x v="1"/>
    <x v="5"/>
    <n v="99"/>
    <s v="S700_3962"/>
    <s v="Royal Canadian Collectables, Ltd."/>
    <s v="(604) 555-4555"/>
    <s v="23 Tsawassen Blvd."/>
    <m/>
    <s v="Tsawassen"/>
    <s v="BC"/>
    <s v="T2F 8M4"/>
    <x v="10"/>
    <s v="NA"/>
    <s v="Lincoln"/>
    <s v="Elizabeth"/>
    <s v="Medium"/>
  </r>
  <r>
    <n v="10294"/>
    <n v="45"/>
    <n v="100"/>
    <n v="1"/>
    <x v="390"/>
    <d v="2004-09-10T00:00:00"/>
    <s v="Shipped"/>
    <n v="3"/>
    <n v="9"/>
    <x v="1"/>
    <x v="5"/>
    <n v="99"/>
    <s v="S700_3962"/>
    <s v="Online Mini Collectables"/>
    <n v="6175557555"/>
    <s v="7635 Spinnaker Dr."/>
    <m/>
    <s v="Brickhaven"/>
    <s v="MA"/>
    <n v="58339"/>
    <x v="0"/>
    <s v="NA"/>
    <s v="Barajas"/>
    <s v="Miguel"/>
    <s v="Medium"/>
  </r>
  <r>
    <n v="10306"/>
    <n v="30"/>
    <n v="100"/>
    <n v="5"/>
    <x v="2678"/>
    <d v="2004-10-14T00:00:00"/>
    <s v="Shipped"/>
    <n v="4"/>
    <n v="10"/>
    <x v="1"/>
    <x v="5"/>
    <n v="99"/>
    <s v="S700_3962"/>
    <s v="AV Stores, Co."/>
    <s v="(171) 555-1555"/>
    <s v="Fauntleroy Circus"/>
    <m/>
    <s v="Manchester"/>
    <m/>
    <s v="EC2 5NT"/>
    <x v="6"/>
    <s v="EMEA"/>
    <s v="Ashworth"/>
    <s v="Victoria"/>
    <s v="Medium"/>
  </r>
  <r>
    <n v="10315"/>
    <n v="37"/>
    <n v="91.37"/>
    <n v="4"/>
    <x v="2679"/>
    <d v="2004-10-29T00:00:00"/>
    <s v="Shipped"/>
    <n v="4"/>
    <n v="10"/>
    <x v="1"/>
    <x v="5"/>
    <n v="99"/>
    <s v="S700_3962"/>
    <s v="La Rochelle Gifts"/>
    <s v="40.67.8555"/>
    <s v="67, rue des Cinquante Otages"/>
    <m/>
    <s v="Nantes"/>
    <m/>
    <n v="44000"/>
    <x v="1"/>
    <s v="EMEA"/>
    <s v="Labrune"/>
    <s v="Janine"/>
    <s v="Medium"/>
  </r>
  <r>
    <n v="10327"/>
    <n v="37"/>
    <n v="86.61"/>
    <n v="3"/>
    <x v="2680"/>
    <d v="2004-11-10T00:00:00"/>
    <s v="Resolved"/>
    <n v="4"/>
    <n v="11"/>
    <x v="1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36"/>
    <n v="71.89"/>
    <n v="7"/>
    <x v="2681"/>
    <d v="2004-11-21T00:00:00"/>
    <s v="Shipped"/>
    <n v="4"/>
    <n v="11"/>
    <x v="1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s v="Small"/>
  </r>
  <r>
    <n v="10350"/>
    <n v="25"/>
    <n v="100"/>
    <n v="16"/>
    <x v="2682"/>
    <d v="2004-12-02T00:00:00"/>
    <s v="Shipped"/>
    <n v="4"/>
    <n v="12"/>
    <x v="1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37"/>
    <n v="100"/>
    <n v="8"/>
    <x v="2683"/>
    <d v="2005-01-31T00:00:00"/>
    <s v="Shipped"/>
    <n v="1"/>
    <n v="1"/>
    <x v="2"/>
    <x v="5"/>
    <n v="99"/>
    <s v="S700_3962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30"/>
    <n v="95.48"/>
    <n v="3"/>
    <x v="2684"/>
    <d v="2005-03-01T00:00:00"/>
    <s v="Resolved"/>
    <n v="1"/>
    <n v="3"/>
    <x v="2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s v="Small"/>
  </r>
  <r>
    <n v="10397"/>
    <n v="36"/>
    <n v="100"/>
    <n v="2"/>
    <x v="2685"/>
    <d v="2005-03-28T00:00:00"/>
    <s v="Shipped"/>
    <n v="1"/>
    <n v="3"/>
    <x v="2"/>
    <x v="5"/>
    <n v="99"/>
    <s v="S700_3962"/>
    <s v="Alpha Cognac"/>
    <s v="61.77.6555"/>
    <s v="1 rue Alsace-Lorraine"/>
    <m/>
    <s v="Toulouse"/>
    <m/>
    <n v="31000"/>
    <x v="1"/>
    <s v="EMEA"/>
    <s v="Roulet"/>
    <s v="Annette"/>
    <s v="Medium"/>
  </r>
  <r>
    <n v="10414"/>
    <n v="27"/>
    <n v="90.37"/>
    <n v="8"/>
    <x v="2686"/>
    <d v="2005-05-06T00:00:00"/>
    <s v="On Hold"/>
    <n v="2"/>
    <n v="5"/>
    <x v="2"/>
    <x v="5"/>
    <n v="99"/>
    <s v="S700_3962"/>
    <s v="Gifts4AllAges.com"/>
    <n v="6175559555"/>
    <s v="8616 Spinnaker Dr."/>
    <m/>
    <s v="Boston"/>
    <s v="MA"/>
    <n v="51003"/>
    <x v="0"/>
    <s v="NA"/>
    <s v="Yoshido"/>
    <s v="Juri"/>
    <s v="Small"/>
  </r>
  <r>
    <n v="10106"/>
    <n v="48"/>
    <n v="61.44"/>
    <n v="10"/>
    <x v="2687"/>
    <d v="2003-02-17T00:00:00"/>
    <s v="Shipped"/>
    <n v="1"/>
    <n v="2"/>
    <x v="0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6"/>
    <n v="59.22"/>
    <n v="1"/>
    <x v="2688"/>
    <d v="2003-04-28T00:00:00"/>
    <s v="Shipped"/>
    <n v="2"/>
    <n v="4"/>
    <x v="0"/>
    <x v="4"/>
    <n v="74"/>
    <s v="S700_4002"/>
    <s v="Salzburg Collectables"/>
    <s v="6562-9555"/>
    <s v="Geislweg 14"/>
    <m/>
    <s v="Salzburg"/>
    <m/>
    <n v="5020"/>
    <x v="5"/>
    <s v="EMEA"/>
    <s v="Pipps"/>
    <s v="Georg"/>
    <s v="Small"/>
  </r>
  <r>
    <n v="10131"/>
    <n v="26"/>
    <n v="85.13"/>
    <n v="2"/>
    <x v="2689"/>
    <d v="2003-06-16T00:00:00"/>
    <s v="Shipped"/>
    <n v="2"/>
    <n v="6"/>
    <x v="0"/>
    <x v="4"/>
    <n v="74"/>
    <s v="S700_4002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4"/>
    <n v="85.87"/>
    <n v="5"/>
    <x v="2690"/>
    <d v="2003-08-10T00:00:00"/>
    <s v="Shipped"/>
    <n v="3"/>
    <n v="8"/>
    <x v="0"/>
    <x v="4"/>
    <n v="74"/>
    <s v="S700_4002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44"/>
    <n v="85.87"/>
    <n v="3"/>
    <x v="2691"/>
    <d v="2003-10-06T00:00:00"/>
    <s v="Shipped"/>
    <n v="4"/>
    <n v="10"/>
    <x v="0"/>
    <x v="4"/>
    <n v="74"/>
    <s v="S700_4002"/>
    <s v="Toys of Finland, Co."/>
    <s v="90-224 8555"/>
    <s v="Keskuskatu 45"/>
    <m/>
    <s v="Helsinki"/>
    <m/>
    <n v="21240"/>
    <x v="4"/>
    <s v="EMEA"/>
    <s v="Karttunen"/>
    <s v="Matti"/>
    <s v="Medium"/>
  </r>
  <r>
    <n v="10168"/>
    <n v="39"/>
    <n v="82.91"/>
    <n v="17"/>
    <x v="2692"/>
    <d v="2003-10-28T00:00:00"/>
    <s v="Shipped"/>
    <n v="4"/>
    <n v="10"/>
    <x v="0"/>
    <x v="4"/>
    <n v="74"/>
    <s v="S700_4002"/>
    <s v="Technics Stores Inc."/>
    <n v="6505556809"/>
    <s v="9408 Furth Circle"/>
    <m/>
    <s v="Burlingame"/>
    <s v="CA"/>
    <n v="94217"/>
    <x v="0"/>
    <s v="NA"/>
    <s v="Hirano"/>
    <s v="Juri"/>
    <s v="Medium"/>
  </r>
  <r>
    <n v="10178"/>
    <n v="45"/>
    <n v="76.25"/>
    <n v="2"/>
    <x v="2693"/>
    <d v="2003-11-08T00:00:00"/>
    <s v="Shipped"/>
    <n v="4"/>
    <n v="11"/>
    <x v="0"/>
    <x v="4"/>
    <n v="74"/>
    <s v="S700_4002"/>
    <s v="Alpha Cognac"/>
    <s v="61.77.6555"/>
    <s v="1 rue Alsace-Lorraine"/>
    <m/>
    <s v="Toulouse"/>
    <m/>
    <n v="31000"/>
    <x v="1"/>
    <s v="EMEA"/>
    <s v="Roulet"/>
    <s v="Annette"/>
    <s v="Medium"/>
  </r>
  <r>
    <n v="10198"/>
    <n v="40"/>
    <n v="63.67"/>
    <n v="2"/>
    <x v="2694"/>
    <d v="2003-11-27T00:00:00"/>
    <s v="Shipped"/>
    <n v="4"/>
    <n v="11"/>
    <x v="0"/>
    <x v="4"/>
    <n v="74"/>
    <s v="S700_4002"/>
    <s v="Cruz &amp; Sons Co."/>
    <s v="+63 2 555 3587"/>
    <s v="15 McCallum Street - NatWest Center #13-03"/>
    <m/>
    <s v="Makati City"/>
    <m/>
    <s v="1227 MM"/>
    <x v="15"/>
    <s v="Japan"/>
    <s v="Cruz"/>
    <s v="Arnold"/>
    <s v="Small"/>
  </r>
  <r>
    <n v="10210"/>
    <n v="42"/>
    <n v="70.33"/>
    <n v="15"/>
    <x v="2695"/>
    <d v="2004-01-12T00:00:00"/>
    <s v="Shipped"/>
    <n v="1"/>
    <n v="1"/>
    <x v="1"/>
    <x v="4"/>
    <n v="74"/>
    <s v="S700_4002"/>
    <s v="Osaka Souveniers Co."/>
    <s v="+81 06 6342 5555"/>
    <s v="Dojima Avanza 4F, 1-6-20 Dojima, Kita-ku"/>
    <m/>
    <s v="Osaka"/>
    <s v="Osaka"/>
    <s v="530-0003"/>
    <x v="11"/>
    <s v="Japan"/>
    <s v="Kentary"/>
    <s v="Mory"/>
    <s v="Small"/>
  </r>
  <r>
    <n v="10222"/>
    <n v="43"/>
    <n v="74.03"/>
    <n v="2"/>
    <x v="2696"/>
    <d v="2004-02-19T00:00:00"/>
    <s v="Shipped"/>
    <n v="1"/>
    <n v="2"/>
    <x v="1"/>
    <x v="4"/>
    <n v="74"/>
    <s v="S700_4002"/>
    <s v="Collectable Mini Designs Co."/>
    <n v="7605558146"/>
    <s v="361 Furth Circle"/>
    <m/>
    <s v="San Diego"/>
    <s v="CA"/>
    <n v="91217"/>
    <x v="0"/>
    <s v="NA"/>
    <s v="Thompson"/>
    <s v="Valarie"/>
    <s v="Medium"/>
  </r>
  <r>
    <n v="10235"/>
    <n v="34"/>
    <n v="72.55"/>
    <n v="11"/>
    <x v="2697"/>
    <d v="2004-04-02T00:00:00"/>
    <s v="Shipped"/>
    <n v="2"/>
    <n v="4"/>
    <x v="1"/>
    <x v="4"/>
    <n v="74"/>
    <s v="S700_4002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50"/>
    <n v="38"/>
    <n v="62.19"/>
    <n v="12"/>
    <x v="2698"/>
    <d v="2004-05-11T00:00:00"/>
    <s v="Shipped"/>
    <n v="2"/>
    <n v="5"/>
    <x v="1"/>
    <x v="4"/>
    <n v="74"/>
    <s v="S700_4002"/>
    <s v="The Sharp Gifts Warehouse"/>
    <n v="4085553659"/>
    <s v="3086 Ingle Ln."/>
    <m/>
    <s v="San Jose"/>
    <s v="CA"/>
    <n v="94217"/>
    <x v="0"/>
    <s v="NA"/>
    <s v="Frick"/>
    <s v="Sue"/>
    <s v="Small"/>
  </r>
  <r>
    <n v="10262"/>
    <n v="35"/>
    <n v="71.069999999999993"/>
    <n v="7"/>
    <x v="2699"/>
    <d v="2004-06-24T00:00:00"/>
    <s v="Cancelled"/>
    <n v="2"/>
    <n v="6"/>
    <x v="1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s v="Small"/>
  </r>
  <r>
    <n v="10275"/>
    <n v="31"/>
    <n v="72.55"/>
    <n v="17"/>
    <x v="2700"/>
    <d v="2004-07-23T00:00:00"/>
    <s v="Shipped"/>
    <n v="3"/>
    <n v="7"/>
    <x v="1"/>
    <x v="4"/>
    <n v="74"/>
    <s v="S700_4002"/>
    <s v="La Rochelle Gifts"/>
    <s v="40.67.8555"/>
    <s v="67, rue des Cinquante Otages"/>
    <m/>
    <s v="Nantes"/>
    <m/>
    <n v="44000"/>
    <x v="1"/>
    <s v="EMEA"/>
    <s v="Labrune"/>
    <s v="Janine"/>
    <s v="Small"/>
  </r>
  <r>
    <n v="10284"/>
    <n v="32"/>
    <n v="64.41"/>
    <n v="9"/>
    <x v="2701"/>
    <d v="2004-08-21T00:00:00"/>
    <s v="Shipped"/>
    <n v="3"/>
    <n v="8"/>
    <x v="1"/>
    <x v="4"/>
    <n v="74"/>
    <s v="S700_4002"/>
    <s v="Norway Gifts By Mail, Co."/>
    <s v="+47 2212 1555"/>
    <s v="Drammensveien 126 A, PB 744 Sentrum"/>
    <m/>
    <s v="Oslo"/>
    <m/>
    <s v="N 0106"/>
    <x v="2"/>
    <s v="EMEA"/>
    <s v="Klaeboe"/>
    <s v="Jan"/>
    <s v="Small"/>
  </r>
  <r>
    <n v="10296"/>
    <n v="47"/>
    <n v="86.62"/>
    <n v="5"/>
    <x v="2702"/>
    <d v="2004-09-15T00:00:00"/>
    <s v="Shipped"/>
    <n v="3"/>
    <n v="9"/>
    <x v="1"/>
    <x v="4"/>
    <n v="74"/>
    <s v="S700_4002"/>
    <s v="Bavarian Collectables Imports, Co."/>
    <s v="+49 89 61 08 9555"/>
    <s v="Hansastr. 15"/>
    <m/>
    <s v="Munich"/>
    <m/>
    <n v="80686"/>
    <x v="16"/>
    <s v="EMEA"/>
    <s v="Donnermeyer"/>
    <s v="Michael"/>
    <s v="Medium"/>
  </r>
  <r>
    <n v="10308"/>
    <n v="39"/>
    <n v="68.11"/>
    <n v="15"/>
    <x v="2703"/>
    <d v="2004-10-15T00:00:00"/>
    <s v="Shipped"/>
    <n v="4"/>
    <n v="10"/>
    <x v="1"/>
    <x v="4"/>
    <n v="74"/>
    <s v="S700_4002"/>
    <s v="Mini Classics"/>
    <n v="9145554562"/>
    <s v="3758 North Pendale Street"/>
    <m/>
    <s v="White Plains"/>
    <s v="NY"/>
    <n v="24067"/>
    <x v="0"/>
    <s v="NA"/>
    <s v="Frick"/>
    <s v="Steve"/>
    <s v="Small"/>
  </r>
  <r>
    <n v="10316"/>
    <n v="44"/>
    <n v="62.19"/>
    <n v="7"/>
    <x v="2704"/>
    <d v="2004-11-01T00:00:00"/>
    <s v="Shipped"/>
    <n v="4"/>
    <n v="11"/>
    <x v="1"/>
    <x v="4"/>
    <n v="74"/>
    <s v="S700_400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8"/>
    <n v="39"/>
    <n v="85.87"/>
    <n v="12"/>
    <x v="2705"/>
    <d v="2004-11-12T00:00:00"/>
    <s v="Shipped"/>
    <n v="4"/>
    <n v="11"/>
    <x v="1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s v="Medium"/>
  </r>
  <r>
    <n v="10339"/>
    <n v="50"/>
    <n v="57.86"/>
    <n v="8"/>
    <x v="2706"/>
    <d v="2004-11-23T00:00:00"/>
    <s v="Shipped"/>
    <n v="4"/>
    <n v="11"/>
    <x v="1"/>
    <x v="4"/>
    <n v="74"/>
    <s v="S700_4002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2"/>
    <n v="22"/>
    <n v="75.510000000000005"/>
    <n v="1"/>
    <x v="2707"/>
    <d v="2004-12-03T00:00:00"/>
    <s v="Shipped"/>
    <n v="4"/>
    <n v="12"/>
    <x v="1"/>
    <x v="4"/>
    <n v="74"/>
    <s v="S700_4002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35"/>
    <n v="100"/>
    <n v="11"/>
    <x v="2708"/>
    <d v="2004-12-17T00:00:00"/>
    <s v="Shipped"/>
    <n v="4"/>
    <n v="12"/>
    <x v="1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Medium"/>
  </r>
  <r>
    <n v="10373"/>
    <n v="45"/>
    <n v="55.62"/>
    <n v="17"/>
    <x v="2709"/>
    <d v="2005-01-31T00:00:00"/>
    <s v="Shipped"/>
    <n v="1"/>
    <n v="1"/>
    <x v="2"/>
    <x v="4"/>
    <n v="74"/>
    <s v="S700_4002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44"/>
    <n v="86.4"/>
    <n v="15"/>
    <x v="2710"/>
    <d v="2005-03-01T00:00:00"/>
    <s v="Resolved"/>
    <n v="1"/>
    <n v="3"/>
    <x v="2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36"/>
    <n v="87.36"/>
    <n v="12"/>
    <x v="2711"/>
    <d v="2005-03-30T00:00:00"/>
    <s v="Shipped"/>
    <n v="1"/>
    <n v="3"/>
    <x v="2"/>
    <x v="4"/>
    <n v="74"/>
    <s v="S700_4002"/>
    <s v="Reims Collectables"/>
    <s v="26.47.1555"/>
    <s v="59 rue de l'Abbaye"/>
    <m/>
    <s v="Reims"/>
    <m/>
    <n v="51100"/>
    <x v="1"/>
    <s v="EMEA"/>
    <s v="Henriot"/>
    <s v="Paul"/>
    <s v="Medium"/>
  </r>
  <r>
    <n v="10401"/>
    <n v="28"/>
    <n v="72.55"/>
    <n v="11"/>
    <x v="2712"/>
    <d v="2005-04-03T00:00:00"/>
    <s v="On Hold"/>
    <n v="2"/>
    <n v="4"/>
    <x v="2"/>
    <x v="4"/>
    <n v="74"/>
    <s v="S700_4002"/>
    <s v="Tekni Collectables Inc."/>
    <n v="2015559350"/>
    <s v="7476 Moss Rd."/>
    <m/>
    <s v="Newark"/>
    <s v="NJ"/>
    <n v="94019"/>
    <x v="0"/>
    <s v="NA"/>
    <s v="Brown"/>
    <s v="William"/>
    <s v="Small"/>
  </r>
  <r>
    <n v="10416"/>
    <n v="43"/>
    <n v="62.19"/>
    <n v="12"/>
    <x v="2713"/>
    <d v="2005-05-10T00:00:00"/>
    <s v="Shipped"/>
    <n v="2"/>
    <n v="5"/>
    <x v="2"/>
    <x v="4"/>
    <n v="74"/>
    <s v="S700_4002"/>
    <s v="L'ordine Souveniers"/>
    <s v="0522-556555"/>
    <s v="Strada Provinciale 124"/>
    <m/>
    <s v="Reggio Emilia"/>
    <m/>
    <n v="42100"/>
    <x v="12"/>
    <s v="EMEA"/>
    <s v="Moroni"/>
    <s v="Maurizio"/>
    <s v="Small"/>
  </r>
  <r>
    <n v="10106"/>
    <n v="48"/>
    <n v="52.64"/>
    <n v="15"/>
    <x v="2714"/>
    <d v="2003-02-17T00:00:00"/>
    <s v="Shipped"/>
    <n v="1"/>
    <n v="2"/>
    <x v="0"/>
    <x v="4"/>
    <n v="49"/>
    <s v="S72_1253"/>
    <s v="Rovelli Gifts"/>
    <s v="035-640555"/>
    <s v="Via Ludovico il Moro 22"/>
    <m/>
    <s v="Bergamo"/>
    <m/>
    <n v="24100"/>
    <x v="12"/>
    <s v="EMEA"/>
    <s v="Rovelli"/>
    <s v="Giovanni"/>
    <s v="Small"/>
  </r>
  <r>
    <n v="10119"/>
    <n v="28"/>
    <n v="48.17"/>
    <n v="6"/>
    <x v="2715"/>
    <d v="2003-04-28T00:00:00"/>
    <s v="Shipped"/>
    <n v="2"/>
    <n v="4"/>
    <x v="0"/>
    <x v="4"/>
    <n v="49"/>
    <s v="S72_1253"/>
    <s v="Salzburg Collectables"/>
    <s v="6562-9555"/>
    <s v="Geislweg 14"/>
    <m/>
    <s v="Salzburg"/>
    <m/>
    <n v="5020"/>
    <x v="5"/>
    <s v="EMEA"/>
    <s v="Pipps"/>
    <s v="Georg"/>
    <s v="Small"/>
  </r>
  <r>
    <n v="10131"/>
    <n v="21"/>
    <n v="41.71"/>
    <n v="7"/>
    <x v="2716"/>
    <d v="2003-06-16T00:00:00"/>
    <s v="Shipped"/>
    <n v="2"/>
    <n v="6"/>
    <x v="0"/>
    <x v="4"/>
    <n v="49"/>
    <s v="S72_1253"/>
    <s v="Gift Ideas Corp."/>
    <n v="2035554407"/>
    <s v="2440 Pompton St."/>
    <m/>
    <s v="Glendale"/>
    <s v="CT"/>
    <n v="97561"/>
    <x v="0"/>
    <s v="NA"/>
    <s v="Lewis"/>
    <s v="Dan"/>
    <s v="Small"/>
  </r>
  <r>
    <n v="10143"/>
    <n v="37"/>
    <n v="50.65"/>
    <n v="10"/>
    <x v="2717"/>
    <d v="2003-08-10T00:00:00"/>
    <s v="Shipped"/>
    <n v="3"/>
    <n v="8"/>
    <x v="0"/>
    <x v="4"/>
    <n v="49"/>
    <s v="S72_1253"/>
    <s v="Mini Creations Ltd."/>
    <n v="5085559555"/>
    <s v="4575 Hillside Dr."/>
    <m/>
    <s v="New Bedford"/>
    <s v="MA"/>
    <n v="50553"/>
    <x v="0"/>
    <s v="NA"/>
    <s v="Tam"/>
    <s v="Wing C"/>
    <s v="Small"/>
  </r>
  <r>
    <n v="10155"/>
    <n v="34"/>
    <n v="49.16"/>
    <n v="8"/>
    <x v="2718"/>
    <d v="2003-10-06T00:00:00"/>
    <s v="Shipped"/>
    <n v="4"/>
    <n v="10"/>
    <x v="0"/>
    <x v="4"/>
    <n v="49"/>
    <s v="S72_1253"/>
    <s v="Toys of Finland, Co."/>
    <s v="90-224 8555"/>
    <s v="Keskuskatu 45"/>
    <m/>
    <s v="Helsinki"/>
    <m/>
    <n v="21240"/>
    <x v="4"/>
    <s v="EMEA"/>
    <s v="Karttunen"/>
    <s v="Matti"/>
    <s v="Small"/>
  </r>
  <r>
    <n v="10167"/>
    <n v="40"/>
    <n v="41.71"/>
    <n v="4"/>
    <x v="2719"/>
    <d v="2003-10-23T00:00:00"/>
    <s v="Cancelled"/>
    <n v="4"/>
    <n v="10"/>
    <x v="0"/>
    <x v="4"/>
    <n v="49"/>
    <s v="S72_1253"/>
    <s v="Scandinavian Gift Ideas"/>
    <s v="0695-34 6555"/>
    <s v="?kergatan 24"/>
    <m/>
    <s v="Boras"/>
    <m/>
    <s v="S-844 67"/>
    <x v="8"/>
    <s v="EMEA"/>
    <s v="Larsson"/>
    <s v="Maria"/>
    <s v="Small"/>
  </r>
  <r>
    <n v="10178"/>
    <n v="45"/>
    <n v="51.15"/>
    <n v="7"/>
    <x v="2720"/>
    <d v="2003-11-08T00:00:00"/>
    <s v="Shipped"/>
    <n v="4"/>
    <n v="11"/>
    <x v="0"/>
    <x v="4"/>
    <n v="49"/>
    <s v="S72_1253"/>
    <s v="Alpha Cognac"/>
    <s v="61.77.6555"/>
    <s v="1 rue Alsace-Lorraine"/>
    <m/>
    <s v="Toulouse"/>
    <m/>
    <n v="31000"/>
    <x v="1"/>
    <s v="EMEA"/>
    <s v="Roulet"/>
    <s v="Annette"/>
    <s v="Small"/>
  </r>
  <r>
    <n v="10186"/>
    <n v="28"/>
    <n v="52.14"/>
    <n v="4"/>
    <x v="2721"/>
    <d v="2003-11-14T00:00:00"/>
    <s v="Shipped"/>
    <n v="4"/>
    <n v="11"/>
    <x v="0"/>
    <x v="4"/>
    <n v="49"/>
    <s v="S72_1253"/>
    <s v="Double Decker Gift Stores, Ltd"/>
    <s v="(171) 555-7555"/>
    <s v="120 Hanover Sq."/>
    <m/>
    <s v="London"/>
    <m/>
    <s v="WA1 1DP"/>
    <x v="6"/>
    <s v="EMEA"/>
    <s v="Hardy"/>
    <s v="Thomas"/>
    <s v="Small"/>
  </r>
  <r>
    <n v="10197"/>
    <n v="29"/>
    <n v="41.71"/>
    <n v="1"/>
    <x v="2722"/>
    <d v="2003-11-26T00:00:00"/>
    <s v="Shipped"/>
    <n v="4"/>
    <n v="11"/>
    <x v="0"/>
    <x v="4"/>
    <n v="49"/>
    <s v="S72_1253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9"/>
    <n v="48"/>
    <n v="44.69"/>
    <n v="3"/>
    <x v="2723"/>
    <d v="2004-01-09T00:00:00"/>
    <s v="Shipped"/>
    <n v="1"/>
    <n v="1"/>
    <x v="1"/>
    <x v="4"/>
    <n v="49"/>
    <s v="S72_1253"/>
    <s v="Men 'R' US Retailers, Ltd."/>
    <n v="2155554369"/>
    <s v="6047 Douglas Av."/>
    <m/>
    <s v="Los Angeles"/>
    <s v="CA"/>
    <m/>
    <x v="0"/>
    <s v="NA"/>
    <s v="Chandler"/>
    <s v="Michael"/>
    <s v="Small"/>
  </r>
  <r>
    <n v="10222"/>
    <n v="31"/>
    <n v="45.69"/>
    <n v="7"/>
    <x v="2724"/>
    <d v="2004-02-19T00:00:00"/>
    <s v="Shipped"/>
    <n v="1"/>
    <n v="2"/>
    <x v="1"/>
    <x v="4"/>
    <n v="49"/>
    <s v="S72_1253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49"/>
    <n v="32"/>
    <n v="57.61"/>
    <n v="3"/>
    <x v="2725"/>
    <d v="2004-05-08T00:00:00"/>
    <s v="Shipped"/>
    <n v="2"/>
    <n v="5"/>
    <x v="1"/>
    <x v="4"/>
    <n v="49"/>
    <s v="S72_1253"/>
    <s v="Cambridge Collectables Co."/>
    <n v="6175555555"/>
    <s v="4658 Baden Av."/>
    <m/>
    <s v="Cambridge"/>
    <s v="MA"/>
    <n v="51247"/>
    <x v="0"/>
    <s v="NA"/>
    <s v="Tseng"/>
    <s v="Kyung"/>
    <s v="Small"/>
  </r>
  <r>
    <n v="10262"/>
    <n v="21"/>
    <n v="57.11"/>
    <n v="12"/>
    <x v="2726"/>
    <d v="2004-06-24T00:00:00"/>
    <s v="Cancelled"/>
    <n v="2"/>
    <n v="6"/>
    <x v="1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s v="Small"/>
  </r>
  <r>
    <n v="10274"/>
    <n v="32"/>
    <n v="58.6"/>
    <n v="4"/>
    <x v="2727"/>
    <d v="2004-07-21T00:00:00"/>
    <s v="Shipped"/>
    <n v="3"/>
    <n v="7"/>
    <x v="1"/>
    <x v="4"/>
    <n v="49"/>
    <s v="S72_1253"/>
    <s v="Collectables For Less Inc."/>
    <n v="6175558555"/>
    <s v="7825 Douglas Av."/>
    <m/>
    <s v="Brickhaven"/>
    <s v="MA"/>
    <n v="58339"/>
    <x v="0"/>
    <s v="NA"/>
    <s v="Nelson"/>
    <s v="Allen"/>
    <s v="Small"/>
  </r>
  <r>
    <n v="10283"/>
    <n v="43"/>
    <n v="57.61"/>
    <n v="1"/>
    <x v="2728"/>
    <d v="2004-08-20T00:00:00"/>
    <s v="Shipped"/>
    <n v="3"/>
    <n v="8"/>
    <x v="1"/>
    <x v="4"/>
    <n v="49"/>
    <s v="S72_1253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6"/>
    <n v="21"/>
    <n v="45.19"/>
    <n v="10"/>
    <x v="2729"/>
    <d v="2004-09-15T00:00:00"/>
    <s v="Shipped"/>
    <n v="3"/>
    <n v="9"/>
    <x v="1"/>
    <x v="4"/>
    <n v="49"/>
    <s v="S72_1253"/>
    <s v="Bavarian Collectables Imports, Co."/>
    <s v="+49 89 61 08 9555"/>
    <s v="Hansastr. 15"/>
    <m/>
    <s v="Munich"/>
    <m/>
    <n v="80686"/>
    <x v="16"/>
    <s v="EMEA"/>
    <s v="Donnermeyer"/>
    <s v="Michael"/>
    <s v="Small"/>
  </r>
  <r>
    <n v="10307"/>
    <n v="34"/>
    <n v="53.63"/>
    <n v="4"/>
    <x v="2730"/>
    <d v="2004-10-14T00:00:00"/>
    <s v="Shipped"/>
    <n v="4"/>
    <n v="10"/>
    <x v="1"/>
    <x v="4"/>
    <n v="49"/>
    <s v="S72_1253"/>
    <s v="Classic Gift Ideas, Inc"/>
    <n v="2155554695"/>
    <s v="782 First Street"/>
    <m/>
    <s v="Philadelphia"/>
    <s v="PA"/>
    <n v="71270"/>
    <x v="0"/>
    <s v="NA"/>
    <s v="Cervantes"/>
    <s v="Francisca"/>
    <s v="Small"/>
  </r>
  <r>
    <n v="10316"/>
    <n v="34"/>
    <n v="43.7"/>
    <n v="12"/>
    <x v="2731"/>
    <d v="2004-11-01T00:00:00"/>
    <s v="Shipped"/>
    <n v="4"/>
    <n v="11"/>
    <x v="1"/>
    <x v="4"/>
    <n v="49"/>
    <s v="S72_1253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329"/>
    <n v="44"/>
    <n v="86.13"/>
    <n v="8"/>
    <x v="2685"/>
    <d v="2004-11-15T00:00:00"/>
    <s v="Shipped"/>
    <n v="4"/>
    <n v="11"/>
    <x v="1"/>
    <x v="4"/>
    <n v="49"/>
    <s v="S72_1253"/>
    <s v="Land of Toys Inc."/>
    <n v="2125557818"/>
    <s v="897 Long Airport Avenue"/>
    <m/>
    <s v="NYC"/>
    <s v="NY"/>
    <n v="10022"/>
    <x v="0"/>
    <s v="NA"/>
    <s v="Yu"/>
    <s v="Kwai"/>
    <s v="Medium"/>
  </r>
  <r>
    <n v="10339"/>
    <n v="27"/>
    <n v="76.31"/>
    <n v="6"/>
    <x v="2732"/>
    <d v="2004-11-23T00:00:00"/>
    <s v="Shipped"/>
    <n v="4"/>
    <n v="11"/>
    <x v="1"/>
    <x v="4"/>
    <n v="49"/>
    <s v="S72_1253"/>
    <s v="Tokyo Collectables, Ltd"/>
    <s v="+81 3 3584 0555"/>
    <s v="2-2-8 Roppongi"/>
    <m/>
    <s v="Minato-ku"/>
    <s v="Tokyo"/>
    <s v="106-0032"/>
    <x v="11"/>
    <s v="Japan"/>
    <s v="Shimamura"/>
    <s v="Akiko"/>
    <s v="Small"/>
  </r>
  <r>
    <n v="10352"/>
    <n v="49"/>
    <n v="52.64"/>
    <n v="4"/>
    <x v="2733"/>
    <d v="2004-12-03T00:00:00"/>
    <s v="Shipped"/>
    <n v="4"/>
    <n v="12"/>
    <x v="1"/>
    <x v="4"/>
    <n v="49"/>
    <s v="S72_1253"/>
    <s v="Auto-Moto Classics Inc."/>
    <n v="6175558428"/>
    <s v="16780 Pompton St."/>
    <m/>
    <s v="Brickhaven"/>
    <s v="MA"/>
    <n v="58339"/>
    <x v="0"/>
    <s v="NA"/>
    <s v="Taylor"/>
    <s v="Leslie"/>
    <s v="Small"/>
  </r>
  <r>
    <n v="10361"/>
    <n v="23"/>
    <n v="95.2"/>
    <n v="12"/>
    <x v="2734"/>
    <d v="2004-12-17T00:00:00"/>
    <s v="Shipped"/>
    <n v="4"/>
    <n v="12"/>
    <x v="1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s v="Small"/>
  </r>
  <r>
    <n v="10373"/>
    <n v="25"/>
    <n v="64.97"/>
    <n v="9"/>
    <x v="2735"/>
    <d v="2005-01-31T00:00:00"/>
    <s v="Shipped"/>
    <n v="1"/>
    <n v="1"/>
    <x v="2"/>
    <x v="4"/>
    <n v="49"/>
    <s v="S72_1253"/>
    <s v="Oulu Toy Supplies, Inc."/>
    <s v="981-443655"/>
    <s v="Torikatu 38"/>
    <m/>
    <s v="Oulu"/>
    <m/>
    <n v="90110"/>
    <x v="4"/>
    <s v="EMEA"/>
    <s v="Koskitalo"/>
    <s v="Pirkko"/>
    <s v="Small"/>
  </r>
  <r>
    <n v="10386"/>
    <n v="50"/>
    <n v="87.15"/>
    <n v="16"/>
    <x v="2736"/>
    <d v="2005-03-01T00:00:00"/>
    <s v="Resolved"/>
    <n v="1"/>
    <n v="3"/>
    <x v="2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s v="Medium"/>
  </r>
  <r>
    <n v="10398"/>
    <n v="34"/>
    <n v="40.22"/>
    <n v="1"/>
    <x v="2737"/>
    <d v="2005-03-30T00:00:00"/>
    <s v="Shipped"/>
    <n v="1"/>
    <n v="3"/>
    <x v="2"/>
    <x v="4"/>
    <n v="49"/>
    <s v="S72_1253"/>
    <s v="Reims Collectables"/>
    <s v="26.47.1555"/>
    <s v="59 rue de l'Abbaye"/>
    <m/>
    <s v="Reims"/>
    <m/>
    <n v="51100"/>
    <x v="1"/>
    <s v="EMEA"/>
    <s v="Henriot"/>
    <s v="Paul"/>
    <s v="Small"/>
  </r>
  <r>
    <n v="10400"/>
    <n v="20"/>
    <n v="56.12"/>
    <n v="4"/>
    <x v="2738"/>
    <d v="2005-04-01T00:00:00"/>
    <s v="Shipped"/>
    <n v="2"/>
    <n v="4"/>
    <x v="2"/>
    <x v="4"/>
    <n v="49"/>
    <s v="S72_1253"/>
    <s v="The Sharp Gifts Warehouse"/>
    <n v="4085553659"/>
    <s v="3086 Ingle Ln."/>
    <m/>
    <s v="San Jose"/>
    <s v="CA"/>
    <n v="94217"/>
    <x v="0"/>
    <s v="NA"/>
    <s v="Frick"/>
    <s v="Sue"/>
    <s v="Small"/>
  </r>
  <r>
    <n v="10415"/>
    <n v="42"/>
    <n v="57.61"/>
    <n v="3"/>
    <x v="2739"/>
    <d v="2005-05-09T00:00:00"/>
    <s v="Disputed"/>
    <n v="2"/>
    <n v="5"/>
    <x v="2"/>
    <x v="4"/>
    <n v="49"/>
    <s v="S72_1253"/>
    <s v="Australian Collectables, Ltd"/>
    <s v="61-9-3844-6555"/>
    <s v="7 Allen Street"/>
    <m/>
    <s v="Glen Waverly"/>
    <s v="Victoria"/>
    <n v="3150"/>
    <x v="3"/>
    <s v="APAC"/>
    <s v="Connery"/>
    <s v="Sean"/>
    <s v="Small"/>
  </r>
  <r>
    <n v="10105"/>
    <n v="25"/>
    <n v="56.78"/>
    <n v="8"/>
    <x v="2740"/>
    <d v="2003-02-11T00:00:00"/>
    <s v="Shipped"/>
    <n v="1"/>
    <n v="2"/>
    <x v="0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s v="Small"/>
  </r>
  <r>
    <n v="10117"/>
    <n v="50"/>
    <n v="43.68"/>
    <n v="2"/>
    <x v="2741"/>
    <d v="2003-04-16T00:00:00"/>
    <s v="Shipped"/>
    <n v="2"/>
    <n v="4"/>
    <x v="0"/>
    <x v="5"/>
    <n v="54"/>
    <s v="S72_3212"/>
    <s v="Dragon Souveniers, Ltd."/>
    <s v="+65 221 7555"/>
    <s v="Bronz Sok., Bronz Apt. 3/6 Tesvikiye"/>
    <m/>
    <s v="Singapore"/>
    <m/>
    <n v="79903"/>
    <x v="9"/>
    <s v="Japan"/>
    <s v="Natividad"/>
    <s v="Eric"/>
    <s v="Small"/>
  </r>
  <r>
    <n v="10129"/>
    <n v="32"/>
    <n v="64.97"/>
    <n v="8"/>
    <x v="2742"/>
    <d v="2003-06-12T00:00:00"/>
    <s v="Shipped"/>
    <n v="2"/>
    <n v="6"/>
    <x v="0"/>
    <x v="5"/>
    <n v="54"/>
    <s v="S72_3212"/>
    <s v="Stylish Desk Decors, Co."/>
    <s v="(171) 555-0297"/>
    <s v="35 King George"/>
    <m/>
    <s v="London"/>
    <m/>
    <s v="WX3 6FW"/>
    <x v="6"/>
    <s v="EMEA"/>
    <s v="Brown"/>
    <s v="Ann"/>
    <s v="Small"/>
  </r>
  <r>
    <n v="10142"/>
    <n v="39"/>
    <n v="44.23"/>
    <n v="5"/>
    <x v="2743"/>
    <d v="2003-08-08T00:00:00"/>
    <s v="Shipped"/>
    <n v="3"/>
    <n v="8"/>
    <x v="0"/>
    <x v="5"/>
    <n v="54"/>
    <s v="S72_3212"/>
    <s v="Mini Gifts Distributors Ltd."/>
    <n v="4155551450"/>
    <s v="5677 Strong St."/>
    <m/>
    <s v="San Rafael"/>
    <s v="CA"/>
    <n v="97562"/>
    <x v="0"/>
    <s v="NA"/>
    <s v="Nelson"/>
    <s v="Valarie"/>
    <s v="Small"/>
  </r>
  <r>
    <n v="10153"/>
    <n v="50"/>
    <n v="60.06"/>
    <n v="4"/>
    <x v="45"/>
    <d v="2003-09-28T00:00:00"/>
    <s v="Shipped"/>
    <n v="3"/>
    <n v="9"/>
    <x v="0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s v="Medium"/>
  </r>
  <r>
    <n v="10167"/>
    <n v="38"/>
    <n v="48.59"/>
    <n v="15"/>
    <x v="2744"/>
    <d v="2003-10-23T00:00:00"/>
    <s v="Cancelled"/>
    <n v="4"/>
    <n v="10"/>
    <x v="0"/>
    <x v="5"/>
    <n v="54"/>
    <s v="S72_3212"/>
    <s v="Scandinavian Gift Ideas"/>
    <s v="0695-34 6555"/>
    <s v="?kergatan 24"/>
    <m/>
    <s v="Boras"/>
    <m/>
    <s v="S-844 67"/>
    <x v="8"/>
    <s v="EMEA"/>
    <s v="Larsson"/>
    <s v="Maria"/>
    <s v="Small"/>
  </r>
  <r>
    <n v="10177"/>
    <n v="40"/>
    <n v="50.23"/>
    <n v="6"/>
    <x v="2745"/>
    <d v="2003-11-07T00:00:00"/>
    <s v="Shipped"/>
    <n v="4"/>
    <n v="11"/>
    <x v="0"/>
    <x v="5"/>
    <n v="54"/>
    <s v="S72_3212"/>
    <s v="CAF Imports"/>
    <s v="+34 913 728 555"/>
    <s v="Merchants House, 27-30 Merchant's Quay"/>
    <m/>
    <s v="Madrid"/>
    <m/>
    <n v="28023"/>
    <x v="7"/>
    <s v="EMEA"/>
    <s v="Fernandez"/>
    <s v="Jesus"/>
    <s v="Small"/>
  </r>
  <r>
    <n v="10185"/>
    <n v="28"/>
    <n v="64.430000000000007"/>
    <n v="6"/>
    <x v="2746"/>
    <d v="2003-11-14T00:00:00"/>
    <s v="Shipped"/>
    <n v="4"/>
    <n v="11"/>
    <x v="0"/>
    <x v="5"/>
    <n v="54"/>
    <s v="S72_3212"/>
    <s v="Mini Creations Ltd."/>
    <n v="5085559555"/>
    <s v="4575 Hillside Dr."/>
    <m/>
    <s v="New Bedford"/>
    <s v="MA"/>
    <n v="50553"/>
    <x v="0"/>
    <s v="NA"/>
    <s v="Tam"/>
    <s v="Wing C"/>
    <s v="Small"/>
  </r>
  <r>
    <n v="10197"/>
    <n v="42"/>
    <n v="50.23"/>
    <n v="12"/>
    <x v="2747"/>
    <d v="2003-11-26T00:00:00"/>
    <s v="Shipped"/>
    <n v="4"/>
    <n v="11"/>
    <x v="0"/>
    <x v="5"/>
    <n v="54"/>
    <s v="S72_3212"/>
    <s v="Enaco Distributors"/>
    <s v="(93) 203 4555"/>
    <s v="Rambla de Catalu¤a, 23"/>
    <m/>
    <s v="Barcelona"/>
    <m/>
    <n v="8022"/>
    <x v="7"/>
    <s v="EMEA"/>
    <s v="Saavedra"/>
    <s v="Eduardo"/>
    <s v="Small"/>
  </r>
  <r>
    <n v="10208"/>
    <n v="42"/>
    <n v="63.88"/>
    <n v="6"/>
    <x v="2748"/>
    <d v="2004-01-02T00:00:00"/>
    <s v="Shipped"/>
    <n v="1"/>
    <n v="1"/>
    <x v="1"/>
    <x v="5"/>
    <n v="54"/>
    <s v="S72_3212"/>
    <s v="Saveley &amp; Henriot, Co."/>
    <s v="78.32.5555"/>
    <s v="2, rue du Commerce"/>
    <m/>
    <s v="Lyon"/>
    <m/>
    <n v="69004"/>
    <x v="1"/>
    <s v="EMEA"/>
    <s v="Saveley"/>
    <s v="Mary"/>
    <s v="Small"/>
  </r>
  <r>
    <n v="10222"/>
    <n v="36"/>
    <n v="63.34"/>
    <n v="18"/>
    <x v="2749"/>
    <d v="2004-02-19T00:00:00"/>
    <s v="Shipped"/>
    <n v="1"/>
    <n v="2"/>
    <x v="1"/>
    <x v="5"/>
    <n v="54"/>
    <s v="S72_3212"/>
    <s v="Collectable Mini Designs Co."/>
    <n v="7605558146"/>
    <s v="361 Furth Circle"/>
    <m/>
    <s v="San Diego"/>
    <s v="CA"/>
    <n v="91217"/>
    <x v="0"/>
    <s v="NA"/>
    <s v="Thompson"/>
    <s v="Valarie"/>
    <s v="Small"/>
  </r>
  <r>
    <n v="10232"/>
    <n v="24"/>
    <n v="49.69"/>
    <n v="3"/>
    <x v="2750"/>
    <d v="2004-03-20T00:00:00"/>
    <s v="Shipped"/>
    <n v="1"/>
    <n v="3"/>
    <x v="1"/>
    <x v="5"/>
    <n v="54"/>
    <s v="S72_3212"/>
    <s v="giftsbymail.co.uk"/>
    <s v="(198) 555-8888"/>
    <s v="Garden House Crowther Way"/>
    <m/>
    <s v="Cowes"/>
    <s v="Isle of Wight"/>
    <s v="PO31 7PJ"/>
    <x v="6"/>
    <s v="EMEA"/>
    <s v="Bennett"/>
    <s v="Helen"/>
    <s v="Small"/>
  </r>
  <r>
    <n v="10248"/>
    <n v="23"/>
    <n v="65.52"/>
    <n v="9"/>
    <x v="1842"/>
    <d v="2004-05-07T00:00:00"/>
    <s v="Cancelled"/>
    <n v="2"/>
    <n v="5"/>
    <x v="1"/>
    <x v="5"/>
    <n v="54"/>
    <s v="S72_3212"/>
    <s v="Land of Toys Inc."/>
    <n v="2125557818"/>
    <s v="897 Long Airport Avenue"/>
    <m/>
    <s v="NYC"/>
    <s v="NY"/>
    <n v="10022"/>
    <x v="0"/>
    <s v="NA"/>
    <s v="Yu"/>
    <s v="Kwai"/>
    <s v="Small"/>
  </r>
  <r>
    <n v="10261"/>
    <n v="29"/>
    <n v="50.78"/>
    <n v="7"/>
    <x v="2751"/>
    <d v="2004-06-17T00:00:00"/>
    <s v="Shipped"/>
    <n v="2"/>
    <n v="6"/>
    <x v="1"/>
    <x v="5"/>
    <n v="54"/>
    <s v="S72_3212"/>
    <s v="Quebec Home Shopping Network"/>
    <s v="(514) 555-8054"/>
    <s v="43 rue St. Laurent"/>
    <m/>
    <s v="Montreal"/>
    <s v="Quebec"/>
    <s v="H1J 1C3"/>
    <x v="10"/>
    <s v="NA"/>
    <s v="Fresnisre"/>
    <s v="Jean"/>
    <s v="Small"/>
  </r>
  <r>
    <n v="10273"/>
    <n v="37"/>
    <n v="45.86"/>
    <n v="10"/>
    <x v="2752"/>
    <d v="2004-07-21T00:00:00"/>
    <s v="Shipped"/>
    <n v="3"/>
    <n v="7"/>
    <x v="1"/>
    <x v="5"/>
    <n v="54"/>
    <s v="S72_3212"/>
    <s v="Petit Auto"/>
    <s v="(02) 5554 67"/>
    <s v="Rue Joseph-Bens 532"/>
    <m/>
    <s v="Bruxelles"/>
    <m/>
    <s v="B-1180"/>
    <x v="14"/>
    <s v="EMEA"/>
    <s v="Dewey"/>
    <s v="Catherine"/>
    <s v="Small"/>
  </r>
  <r>
    <n v="10283"/>
    <n v="33"/>
    <n v="51.32"/>
    <n v="12"/>
    <x v="2753"/>
    <d v="2004-08-20T00:00:00"/>
    <s v="Shipped"/>
    <n v="3"/>
    <n v="8"/>
    <x v="1"/>
    <x v="5"/>
    <n v="54"/>
    <s v="S72_3212"/>
    <s v="Royal Canadian Collectables, Ltd."/>
    <s v="(604) 555-4555"/>
    <s v="23 Tsawassen Blvd."/>
    <m/>
    <s v="Tsawassen"/>
    <s v="BC"/>
    <s v="T2F 8M4"/>
    <x v="10"/>
    <s v="NA"/>
    <s v="Lincoln"/>
    <s v="Elizabeth"/>
    <s v="Small"/>
  </r>
  <r>
    <n v="10293"/>
    <n v="32"/>
    <n v="60.06"/>
    <n v="1"/>
    <x v="2754"/>
    <d v="2004-09-09T00:00:00"/>
    <s v="Shipped"/>
    <n v="3"/>
    <n v="9"/>
    <x v="1"/>
    <x v="5"/>
    <n v="54"/>
    <s v="S72_3212"/>
    <s v="Amica Models &amp; Co."/>
    <s v="011-4988555"/>
    <s v="Via Monte Bianco 34"/>
    <m/>
    <s v="Torino"/>
    <m/>
    <n v="10100"/>
    <x v="12"/>
    <s v="EMEA"/>
    <s v="Accorti"/>
    <s v="Paolo"/>
    <s v="Small"/>
  </r>
  <r>
    <n v="10306"/>
    <n v="35"/>
    <n v="59.51"/>
    <n v="6"/>
    <x v="2755"/>
    <d v="2004-10-14T00:00:00"/>
    <s v="Shipped"/>
    <n v="4"/>
    <n v="10"/>
    <x v="1"/>
    <x v="5"/>
    <n v="54"/>
    <s v="S72_3212"/>
    <s v="AV Stores, Co."/>
    <s v="(171) 555-1555"/>
    <s v="Fauntleroy Circus"/>
    <m/>
    <s v="Manchester"/>
    <m/>
    <s v="EC2 5NT"/>
    <x v="6"/>
    <s v="EMEA"/>
    <s v="Ashworth"/>
    <s v="Victoria"/>
    <s v="Small"/>
  </r>
  <r>
    <n v="10315"/>
    <n v="40"/>
    <n v="55.69"/>
    <n v="5"/>
    <x v="2756"/>
    <d v="2004-10-29T00:00:00"/>
    <s v="Shipped"/>
    <n v="4"/>
    <n v="10"/>
    <x v="1"/>
    <x v="5"/>
    <n v="54"/>
    <s v="S72_3212"/>
    <s v="La Rochelle Gifts"/>
    <s v="40.67.8555"/>
    <s v="67, rue des Cinquante Otages"/>
    <m/>
    <s v="Nantes"/>
    <m/>
    <n v="44000"/>
    <x v="1"/>
    <s v="EMEA"/>
    <s v="Labrune"/>
    <s v="Janine"/>
    <s v="Small"/>
  </r>
  <r>
    <n v="10327"/>
    <n v="37"/>
    <n v="86.74"/>
    <n v="4"/>
    <x v="2757"/>
    <d v="2004-11-10T00:00:00"/>
    <s v="Resolved"/>
    <n v="4"/>
    <n v="11"/>
    <x v="1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s v="Medium"/>
  </r>
  <r>
    <n v="10337"/>
    <n v="42"/>
    <n v="97.16"/>
    <n v="5"/>
    <x v="2758"/>
    <d v="2004-11-21T00:00:00"/>
    <s v="Shipped"/>
    <n v="4"/>
    <n v="11"/>
    <x v="1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s v="Medium"/>
  </r>
  <r>
    <n v="10350"/>
    <n v="20"/>
    <n v="100"/>
    <n v="15"/>
    <x v="2759"/>
    <d v="2004-12-02T00:00:00"/>
    <s v="Shipped"/>
    <n v="4"/>
    <n v="12"/>
    <x v="1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s v="Small"/>
  </r>
  <r>
    <n v="10373"/>
    <n v="29"/>
    <n v="100"/>
    <n v="1"/>
    <x v="2760"/>
    <d v="2005-01-31T00:00:00"/>
    <s v="Shipped"/>
    <n v="1"/>
    <n v="1"/>
    <x v="2"/>
    <x v="5"/>
    <n v="54"/>
    <s v="S72_3212"/>
    <s v="Oulu Toy Supplies, Inc."/>
    <s v="981-443655"/>
    <s v="Torikatu 38"/>
    <m/>
    <s v="Oulu"/>
    <m/>
    <n v="90110"/>
    <x v="4"/>
    <s v="EMEA"/>
    <s v="Koskitalo"/>
    <s v="Pirkko"/>
    <s v="Medium"/>
  </r>
  <r>
    <n v="10386"/>
    <n v="43"/>
    <n v="100"/>
    <n v="4"/>
    <x v="2761"/>
    <d v="2005-03-01T00:00:00"/>
    <s v="Resolved"/>
    <n v="1"/>
    <n v="3"/>
    <x v="2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s v="Medium"/>
  </r>
  <r>
    <n v="10397"/>
    <n v="34"/>
    <n v="62.24"/>
    <n v="1"/>
    <x v="2762"/>
    <d v="2005-03-28T00:00:00"/>
    <s v="Shipped"/>
    <n v="1"/>
    <n v="3"/>
    <x v="2"/>
    <x v="5"/>
    <n v="54"/>
    <s v="S72_3212"/>
    <s v="Alpha Cognac"/>
    <s v="61.77.6555"/>
    <s v="1 rue Alsace-Lorraine"/>
    <m/>
    <s v="Toulouse"/>
    <m/>
    <n v="31000"/>
    <x v="1"/>
    <s v="EMEA"/>
    <s v="Roulet"/>
    <s v="Annette"/>
    <s v="Small"/>
  </r>
  <r>
    <n v="10414"/>
    <n v="47"/>
    <n v="65.52"/>
    <n v="9"/>
    <x v="1916"/>
    <d v="2005-05-06T00:00:00"/>
    <s v="On Hold"/>
    <n v="2"/>
    <n v="5"/>
    <x v="2"/>
    <x v="5"/>
    <n v="54"/>
    <s v="S72_3212"/>
    <s v="Gifts4AllAges.com"/>
    <n v="6175559555"/>
    <s v="8616 Spinnaker Dr."/>
    <m/>
    <s v="Boston"/>
    <s v="MA"/>
    <n v="51003"/>
    <x v="0"/>
    <s v="NA"/>
    <s v="Yoshido"/>
    <s v="Juri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5617C-191D-4DAE-8C4F-34E5076D4928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5">
    <pivotField showAll="0"/>
    <pivotField numFmtId="2" showAll="0"/>
    <pivotField showAll="0"/>
    <pivotField showAll="0"/>
    <pivotField dataField="1" numFmtId="2" showAll="0">
      <items count="2764">
        <item x="2211"/>
        <item x="1270"/>
        <item x="2009"/>
        <item x="1529"/>
        <item x="1789"/>
        <item x="2172"/>
        <item x="2010"/>
        <item x="1526"/>
        <item x="1531"/>
        <item x="1535"/>
        <item x="1518"/>
        <item x="1765"/>
        <item x="1690"/>
        <item x="712"/>
        <item x="22"/>
        <item x="1524"/>
        <item x="1771"/>
        <item x="740"/>
        <item x="1704"/>
        <item x="2313"/>
        <item x="1611"/>
        <item x="1537"/>
        <item x="1481"/>
        <item x="1699"/>
        <item x="1612"/>
        <item x="1694"/>
        <item x="1607"/>
        <item x="2716"/>
        <item x="893"/>
        <item x="1692"/>
        <item x="1774"/>
        <item x="1996"/>
        <item x="1697"/>
        <item x="1599"/>
        <item x="1770"/>
        <item x="2210"/>
        <item x="1763"/>
        <item x="768"/>
        <item x="2729"/>
        <item x="2003"/>
        <item x="1995"/>
        <item x="2368"/>
        <item x="636"/>
        <item x="1528"/>
        <item x="1522"/>
        <item x="1489"/>
        <item x="806"/>
        <item x="2173"/>
        <item x="840"/>
        <item x="1593"/>
        <item x="1521"/>
        <item x="1598"/>
        <item x="1992"/>
        <item x="2175"/>
        <item x="1702"/>
        <item x="2362"/>
        <item x="2165"/>
        <item x="2170"/>
        <item x="2222"/>
        <item x="1835"/>
        <item x="1181"/>
        <item x="1510"/>
        <item x="1766"/>
        <item x="1715"/>
        <item x="1700"/>
        <item x="1420"/>
        <item x="2505"/>
        <item x="312"/>
        <item x="2004"/>
        <item x="2188"/>
        <item x="1442"/>
        <item x="510"/>
        <item x="1530"/>
        <item x="2177"/>
        <item x="2163"/>
        <item x="1596"/>
        <item x="2315"/>
        <item x="1333"/>
        <item x="2738"/>
        <item x="1485"/>
        <item x="2418"/>
        <item x="2460"/>
        <item x="1597"/>
        <item x="1782"/>
        <item x="812"/>
        <item x="939"/>
        <item x="1695"/>
        <item x="1532"/>
        <item x="1903"/>
        <item x="1601"/>
        <item x="1994"/>
        <item x="505"/>
        <item x="434"/>
        <item x="1705"/>
        <item x="813"/>
        <item x="2160"/>
        <item x="1976"/>
        <item x="1999"/>
        <item x="1525"/>
        <item x="742"/>
        <item x="2750"/>
        <item x="2236"/>
        <item x="1520"/>
        <item x="2726"/>
        <item x="124"/>
        <item x="1846"/>
        <item x="1777"/>
        <item x="2184"/>
        <item x="1764"/>
        <item x="1296"/>
        <item x="1693"/>
        <item x="2722"/>
        <item x="1540"/>
        <item x="2456"/>
        <item x="1419"/>
        <item x="1849"/>
        <item x="913"/>
        <item x="1709"/>
        <item x="1474"/>
        <item x="1527"/>
        <item x="2250"/>
        <item x="1781"/>
        <item x="709"/>
        <item x="917"/>
        <item x="513"/>
        <item x="2164"/>
        <item x="902"/>
        <item x="2196"/>
        <item x="2312"/>
        <item x="1698"/>
        <item x="1401"/>
        <item x="1885"/>
        <item x="1327"/>
        <item x="1337"/>
        <item x="2323"/>
        <item x="596"/>
        <item x="1848"/>
        <item x="836"/>
        <item x="1403"/>
        <item x="1222"/>
        <item x="1413"/>
        <item x="1768"/>
        <item x="802"/>
        <item x="1328"/>
        <item x="518"/>
        <item x="1472"/>
        <item x="1997"/>
        <item x="1411"/>
        <item x="863"/>
        <item x="1430"/>
        <item x="516"/>
        <item x="2268"/>
        <item x="679"/>
        <item x="2162"/>
        <item x="1373"/>
        <item x="2207"/>
        <item x="74"/>
        <item x="2251"/>
        <item x="689"/>
        <item x="1696"/>
        <item x="1710"/>
        <item x="1651"/>
        <item x="600"/>
        <item x="2002"/>
        <item x="342"/>
        <item x="508"/>
        <item x="1329"/>
        <item x="1659"/>
        <item x="2715"/>
        <item x="1688"/>
        <item x="1988"/>
        <item x="1482"/>
        <item x="2311"/>
        <item x="1727"/>
        <item x="1185"/>
        <item x="1432"/>
        <item x="1179"/>
        <item x="1850"/>
        <item x="566"/>
        <item x="2397"/>
        <item x="2737"/>
        <item x="2425"/>
        <item x="1776"/>
        <item x="1513"/>
        <item x="2001"/>
        <item x="1780"/>
        <item x="2161"/>
        <item x="2193"/>
        <item x="1784"/>
        <item x="906"/>
        <item x="1517"/>
        <item x="2383"/>
        <item x="2218"/>
        <item x="2033"/>
        <item x="2724"/>
        <item x="2740"/>
        <item x="2276"/>
        <item x="503"/>
        <item x="680"/>
        <item x="897"/>
        <item x="1740"/>
        <item x="1778"/>
        <item x="1523"/>
        <item x="1993"/>
        <item x="892"/>
        <item x="1707"/>
        <item x="2318"/>
        <item x="541"/>
        <item x="1868"/>
        <item x="21"/>
        <item x="1475"/>
        <item x="1194"/>
        <item x="1427"/>
        <item x="1862"/>
        <item x="2721"/>
        <item x="1490"/>
        <item x="641"/>
        <item x="282"/>
        <item x="1721"/>
        <item x="2751"/>
        <item x="1545"/>
        <item x="1772"/>
        <item x="996"/>
        <item x="754"/>
        <item x="1739"/>
        <item x="790"/>
        <item x="2282"/>
        <item x="350"/>
        <item x="2731"/>
        <item x="2400"/>
        <item x="2419"/>
        <item x="1691"/>
        <item x="794"/>
        <item x="772"/>
        <item x="2074"/>
        <item x="675"/>
        <item x="1731"/>
        <item x="673"/>
        <item x="898"/>
        <item x="506"/>
        <item x="757"/>
        <item x="1340"/>
        <item x="504"/>
        <item x="900"/>
        <item x="1396"/>
        <item x="1842"/>
        <item x="1929"/>
        <item x="1706"/>
        <item x="2180"/>
        <item x="1915"/>
        <item x="487"/>
        <item x="2167"/>
        <item x="383"/>
        <item x="2174"/>
        <item x="1723"/>
        <item x="1088"/>
        <item x="1991"/>
        <item x="1998"/>
        <item x="1043"/>
        <item x="2205"/>
        <item x="1077"/>
        <item x="1773"/>
        <item x="1831"/>
        <item x="2688"/>
        <item x="1818"/>
        <item x="2091"/>
        <item x="1670"/>
        <item x="2166"/>
        <item x="2176"/>
        <item x="807"/>
        <item x="932"/>
        <item x="1767"/>
        <item x="1349"/>
        <item x="507"/>
        <item x="1480"/>
        <item x="1441"/>
        <item x="911"/>
        <item x="2186"/>
        <item x="1595"/>
        <item x="2081"/>
        <item x="2309"/>
        <item x="1335"/>
        <item x="787"/>
        <item x="682"/>
        <item x="1384"/>
        <item x="1783"/>
        <item x="2238"/>
        <item x="1877"/>
        <item x="1769"/>
        <item x="1256"/>
        <item x="1483"/>
        <item x="1703"/>
        <item x="2235"/>
        <item x="2284"/>
        <item x="1853"/>
        <item x="967"/>
        <item x="514"/>
        <item x="1795"/>
        <item x="1760"/>
        <item x="797"/>
        <item x="671"/>
        <item x="1728"/>
        <item x="565"/>
        <item x="2325"/>
        <item x="2194"/>
        <item x="2382"/>
        <item x="2735"/>
        <item x="597"/>
        <item x="361"/>
        <item x="345"/>
        <item x="1369"/>
        <item x="2239"/>
        <item x="1861"/>
        <item x="1421"/>
        <item x="2265"/>
        <item x="1186"/>
        <item x="1672"/>
        <item x="1294"/>
        <item x="678"/>
        <item x="1646"/>
        <item x="1719"/>
        <item x="1389"/>
        <item x="1779"/>
        <item x="2443"/>
        <item x="1990"/>
        <item x="2052"/>
        <item x="1195"/>
        <item x="2063"/>
        <item x="992"/>
        <item x="2707"/>
        <item x="1188"/>
        <item x="920"/>
        <item x="2075"/>
        <item x="2185"/>
        <item x="752"/>
        <item x="2609"/>
        <item x="1320"/>
        <item x="2719"/>
        <item x="1096"/>
        <item x="1720"/>
        <item x="2718"/>
        <item x="1876"/>
        <item x="1386"/>
        <item x="756"/>
        <item x="1387"/>
        <item x="1341"/>
        <item x="2216"/>
        <item x="1404"/>
        <item x="2073"/>
        <item x="1275"/>
        <item x="355"/>
        <item x="862"/>
        <item x="1385"/>
        <item x="1989"/>
        <item x="1603"/>
        <item x="2753"/>
        <item x="766"/>
        <item x="2169"/>
        <item x="801"/>
        <item x="2752"/>
        <item x="1924"/>
        <item x="2000"/>
        <item x="2240"/>
        <item x="765"/>
        <item x="2208"/>
        <item x="1519"/>
        <item x="2197"/>
        <item x="1080"/>
        <item x="2361"/>
        <item x="1775"/>
        <item x="1838"/>
        <item x="2199"/>
        <item x="1586"/>
        <item x="2213"/>
        <item x="2322"/>
        <item x="1395"/>
        <item x="1863"/>
        <item x="2069"/>
        <item x="2007"/>
        <item x="1470"/>
        <item x="2321"/>
        <item x="2743"/>
        <item x="1412"/>
        <item x="2202"/>
        <item x="683"/>
        <item x="1592"/>
        <item x="2168"/>
        <item x="755"/>
        <item x="1422"/>
        <item x="1606"/>
        <item x="156"/>
        <item x="1874"/>
        <item x="2171"/>
        <item x="2625"/>
        <item x="1176"/>
        <item x="500"/>
        <item x="1872"/>
        <item x="497"/>
        <item x="638"/>
        <item x="2620"/>
        <item x="2669"/>
        <item x="387"/>
        <item x="2477"/>
        <item x="2198"/>
        <item x="1920"/>
        <item x="1958"/>
        <item x="1488"/>
        <item x="343"/>
        <item x="2316"/>
        <item x="1602"/>
        <item x="2326"/>
        <item x="1169"/>
        <item x="1701"/>
        <item x="808"/>
        <item x="803"/>
        <item x="1076"/>
        <item x="2626"/>
        <item x="2365"/>
        <item x="2278"/>
        <item x="973"/>
        <item x="1839"/>
        <item x="1645"/>
        <item x="1799"/>
        <item x="1714"/>
        <item x="1285"/>
        <item x="2272"/>
        <item x="509"/>
        <item x="2332"/>
        <item x="759"/>
        <item x="341"/>
        <item x="950"/>
        <item x="895"/>
        <item x="1539"/>
        <item x="2746"/>
        <item x="2220"/>
        <item x="2072"/>
        <item x="311"/>
        <item x="2041"/>
        <item x="904"/>
        <item x="102"/>
        <item x="1851"/>
        <item x="2730"/>
        <item x="2417"/>
        <item x="775"/>
        <item x="2183"/>
        <item x="1615"/>
        <item x="1476"/>
        <item x="2627"/>
        <item x="608"/>
        <item x="1276"/>
        <item x="685"/>
        <item x="1332"/>
        <item x="2725"/>
        <item x="1927"/>
        <item x="1613"/>
        <item x="2744"/>
        <item x="1549"/>
        <item x="1550"/>
        <item x="1912"/>
        <item x="1965"/>
        <item x="793"/>
        <item x="1061"/>
        <item x="1423"/>
        <item x="2137"/>
        <item x="1757"/>
        <item x="753"/>
        <item x="2414"/>
        <item x="2320"/>
        <item x="2439"/>
        <item x="1215"/>
        <item x="1424"/>
        <item x="2586"/>
        <item x="811"/>
        <item x="1736"/>
        <item x="2261"/>
        <item x="2319"/>
        <item x="910"/>
        <item x="2717"/>
        <item x="1125"/>
        <item x="2727"/>
        <item x="922"/>
        <item x="674"/>
        <item x="1199"/>
        <item x="912"/>
        <item x="2498"/>
        <item x="2147"/>
        <item x="1732"/>
        <item x="203"/>
        <item x="903"/>
        <item x="1902"/>
        <item x="1811"/>
        <item x="2487"/>
        <item x="1837"/>
        <item x="2360"/>
        <item x="2317"/>
        <item x="1865"/>
        <item x="1917"/>
        <item x="2635"/>
        <item x="1251"/>
        <item x="1378"/>
        <item x="942"/>
        <item x="2534"/>
        <item x="1858"/>
        <item x="2255"/>
        <item x="1344"/>
        <item x="2413"/>
        <item x="1277"/>
        <item x="2150"/>
        <item x="1547"/>
        <item x="2334"/>
        <item x="2754"/>
        <item x="2376"/>
        <item x="603"/>
        <item x="2517"/>
        <item x="2195"/>
        <item x="2434"/>
        <item x="1869"/>
        <item x="1324"/>
        <item x="346"/>
        <item x="2652"/>
        <item x="2013"/>
        <item x="1417"/>
        <item x="2421"/>
        <item x="799"/>
        <item x="1408"/>
        <item x="2277"/>
        <item x="1819"/>
        <item x="1428"/>
        <item x="2427"/>
        <item x="402"/>
        <item x="424"/>
        <item x="183"/>
        <item x="2058"/>
        <item x="125"/>
        <item x="2130"/>
        <item x="2393"/>
        <item x="1963"/>
        <item x="2370"/>
        <item x="1967"/>
        <item x="1331"/>
        <item x="2034"/>
        <item x="1918"/>
        <item x="970"/>
        <item x="2333"/>
        <item x="1972"/>
        <item x="800"/>
        <item x="938"/>
        <item x="1415"/>
        <item x="1815"/>
        <item x="1867"/>
        <item x="2224"/>
        <item x="1905"/>
        <item x="2093"/>
        <item x="2449"/>
        <item x="804"/>
        <item x="2569"/>
        <item x="2090"/>
        <item x="1802"/>
        <item x="2089"/>
        <item x="1511"/>
        <item x="2745"/>
        <item x="1382"/>
        <item x="1925"/>
        <item x="894"/>
        <item x="1052"/>
        <item x="1375"/>
        <item x="2612"/>
        <item x="1970"/>
        <item x="908"/>
        <item x="1982"/>
        <item x="1440"/>
        <item x="1193"/>
        <item x="1866"/>
        <item x="2556"/>
        <item x="936"/>
        <item x="944"/>
        <item x="2327"/>
        <item x="2095"/>
        <item x="1487"/>
        <item x="841"/>
        <item x="2712"/>
        <item x="423"/>
        <item x="2462"/>
        <item x="2537"/>
        <item x="340"/>
        <item x="1665"/>
        <item x="2324"/>
        <item x="2377"/>
        <item x="2623"/>
        <item x="2214"/>
        <item x="791"/>
        <item x="493"/>
        <item x="2371"/>
        <item x="1840"/>
        <item x="1283"/>
        <item x="935"/>
        <item x="2732"/>
        <item x="1643"/>
        <item x="2701"/>
        <item x="2097"/>
        <item x="2088"/>
        <item x="780"/>
        <item x="1653"/>
        <item x="2192"/>
        <item x="1829"/>
        <item x="1393"/>
        <item x="2742"/>
        <item x="1807"/>
        <item x="770"/>
        <item x="2755"/>
        <item x="1334"/>
        <item x="435"/>
        <item x="1380"/>
        <item x="2475"/>
        <item x="761"/>
        <item x="1585"/>
        <item x="2364"/>
        <item x="798"/>
        <item x="1758"/>
        <item x="1788"/>
        <item x="2263"/>
        <item x="1348"/>
        <item x="1557"/>
        <item x="2227"/>
        <item x="613"/>
        <item x="2461"/>
        <item x="2566"/>
        <item x="2424"/>
        <item x="2747"/>
        <item x="2629"/>
        <item x="496"/>
        <item x="1824"/>
        <item x="2762"/>
        <item x="1410"/>
        <item x="2246"/>
        <item x="1072"/>
        <item x="2411"/>
        <item x="1900"/>
        <item x="499"/>
        <item x="2087"/>
        <item x="388"/>
        <item x="764"/>
        <item x="1381"/>
        <item x="1604"/>
        <item x="367"/>
        <item x="392"/>
        <item x="594"/>
        <item x="760"/>
        <item x="2245"/>
        <item x="2006"/>
        <item x="1671"/>
        <item x="2723"/>
        <item x="2473"/>
        <item x="2226"/>
        <item x="751"/>
        <item x="1823"/>
        <item x="1433"/>
        <item x="1667"/>
        <item x="1054"/>
        <item x="2514"/>
        <item x="1458"/>
        <item x="1074"/>
        <item x="702"/>
        <item x="795"/>
        <item x="1852"/>
        <item x="1733"/>
        <item x="1890"/>
        <item x="2286"/>
        <item x="8"/>
        <item x="1647"/>
        <item x="1968"/>
        <item x="1093"/>
        <item x="2493"/>
        <item x="1189"/>
        <item x="2243"/>
        <item x="1605"/>
        <item x="2127"/>
        <item x="1684"/>
        <item x="1190"/>
        <item x="1738"/>
        <item x="474"/>
        <item x="2741"/>
        <item x="1314"/>
        <item x="2558"/>
        <item x="1546"/>
        <item x="2734"/>
        <item x="2248"/>
        <item x="758"/>
        <item x="1658"/>
        <item x="1330"/>
        <item x="667"/>
        <item x="2304"/>
        <item x="816"/>
        <item x="1267"/>
        <item x="2650"/>
        <item x="746"/>
        <item x="2667"/>
        <item x="1844"/>
        <item x="2190"/>
        <item x="915"/>
        <item x="2062"/>
        <item x="723"/>
        <item x="2689"/>
        <item x="809"/>
        <item x="1501"/>
        <item x="380"/>
        <item x="1342"/>
        <item x="1486"/>
        <item x="919"/>
        <item x="2391"/>
        <item x="1730"/>
        <item x="1184"/>
        <item x="1609"/>
        <item x="2451"/>
        <item x="76"/>
        <item x="779"/>
        <item x="2756"/>
        <item x="1070"/>
        <item x="2470"/>
        <item x="1883"/>
        <item x="964"/>
        <item x="1493"/>
        <item x="2274"/>
        <item x="781"/>
        <item x="1273"/>
        <item x="1478"/>
        <item x="2372"/>
        <item x="868"/>
        <item x="2759"/>
        <item x="2121"/>
        <item x="945"/>
        <item x="1095"/>
        <item x="1813"/>
        <item x="2700"/>
        <item x="433"/>
        <item x="2038"/>
        <item x="1453"/>
        <item x="351"/>
        <item x="297"/>
        <item x="2544"/>
        <item x="1588"/>
        <item x="684"/>
        <item x="1559"/>
        <item x="966"/>
        <item x="2209"/>
        <item x="672"/>
        <item x="1657"/>
        <item x="734"/>
        <item x="1081"/>
        <item x="1177"/>
        <item x="1172"/>
        <item x="2092"/>
        <item x="1409"/>
        <item x="1437"/>
        <item x="687"/>
        <item x="1464"/>
        <item x="2045"/>
        <item x="1666"/>
        <item x="2749"/>
        <item x="208"/>
        <item x="2266"/>
        <item x="1817"/>
        <item x="2384"/>
        <item x="691"/>
        <item x="1977"/>
        <item x="1426"/>
        <item x="2253"/>
        <item x="2380"/>
        <item x="2471"/>
        <item x="154"/>
        <item x="344"/>
        <item x="1455"/>
        <item x="2720"/>
        <item x="498"/>
        <item x="1926"/>
        <item x="2267"/>
        <item x="495"/>
        <item x="1505"/>
        <item x="1554"/>
        <item x="1610"/>
        <item x="940"/>
        <item x="2570"/>
        <item x="1429"/>
        <item x="1326"/>
        <item x="2228"/>
        <item x="2541"/>
        <item x="2201"/>
        <item x="2181"/>
        <item x="2577"/>
        <item x="1113"/>
        <item x="676"/>
        <item x="1669"/>
        <item x="2200"/>
        <item x="2229"/>
        <item x="1821"/>
        <item x="1827"/>
        <item x="11"/>
        <item x="1979"/>
        <item x="2640"/>
        <item x="2378"/>
        <item x="2187"/>
        <item x="1435"/>
        <item x="2430"/>
        <item x="1258"/>
        <item x="1896"/>
        <item x="1826"/>
        <item x="1286"/>
        <item x="2289"/>
        <item x="1742"/>
        <item x="1600"/>
        <item x="1718"/>
        <item x="1845"/>
        <item x="2217"/>
        <item x="2561"/>
        <item x="2504"/>
        <item x="805"/>
        <item x="2515"/>
        <item x="494"/>
        <item x="1374"/>
        <item x="2698"/>
        <item x="511"/>
        <item x="2129"/>
        <item x="1504"/>
        <item x="1407"/>
        <item x="2016"/>
        <item x="2548"/>
        <item x="2492"/>
        <item x="1309"/>
        <item x="1930"/>
        <item x="1746"/>
        <item x="681"/>
        <item x="2658"/>
        <item x="1406"/>
        <item x="1555"/>
        <item x="1479"/>
        <item x="2126"/>
        <item x="2597"/>
        <item x="301"/>
        <item x="2262"/>
        <item x="1923"/>
        <item x="1655"/>
        <item x="1360"/>
        <item x="477"/>
        <item x="1594"/>
        <item x="50"/>
        <item x="1066"/>
        <item x="2739"/>
        <item x="2247"/>
        <item x="1398"/>
        <item x="2204"/>
        <item x="512"/>
        <item x="665"/>
        <item x="2549"/>
        <item x="1859"/>
        <item x="1439"/>
        <item x="2256"/>
        <item x="1914"/>
        <item x="24"/>
        <item x="2117"/>
        <item x="1884"/>
        <item x="212"/>
        <item x="2686"/>
        <item x="731"/>
        <item x="1304"/>
        <item x="2374"/>
        <item x="1563"/>
        <item x="1717"/>
        <item x="1109"/>
        <item x="2219"/>
        <item x="1857"/>
        <item x="2367"/>
        <item x="2543"/>
        <item x="1797"/>
        <item x="302"/>
        <item x="501"/>
        <item x="2536"/>
        <item x="1644"/>
        <item x="2138"/>
        <item x="1098"/>
        <item x="604"/>
        <item x="235"/>
        <item x="2697"/>
        <item x="439"/>
        <item x="1127"/>
        <item x="2375"/>
        <item x="2110"/>
        <item x="1591"/>
        <item x="2143"/>
        <item x="2146"/>
        <item x="2728"/>
        <item x="2064"/>
        <item x="2310"/>
        <item x="1494"/>
        <item x="1068"/>
        <item x="1259"/>
        <item x="1312"/>
        <item x="2403"/>
        <item x="1082"/>
        <item x="2507"/>
        <item x="2699"/>
        <item x="1183"/>
        <item x="954"/>
        <item x="2645"/>
        <item x="1325"/>
        <item x="677"/>
        <item x="2314"/>
        <item x="1904"/>
        <item x="1928"/>
        <item x="299"/>
        <item x="6"/>
        <item x="1209"/>
        <item x="2538"/>
        <item x="1252"/>
        <item x="1115"/>
        <item x="2709"/>
        <item x="879"/>
        <item x="408"/>
        <item x="530"/>
        <item x="488"/>
        <item x="204"/>
        <item x="1913"/>
        <item x="2291"/>
        <item x="490"/>
        <item x="972"/>
        <item x="1649"/>
        <item x="410"/>
        <item x="2668"/>
        <item x="453"/>
        <item x="2714"/>
        <item x="1246"/>
        <item x="362"/>
        <item x="1477"/>
        <item x="2479"/>
        <item x="1660"/>
        <item x="2444"/>
        <item x="1451"/>
        <item x="2366"/>
        <item x="1208"/>
        <item x="947"/>
        <item x="1108"/>
        <item x="869"/>
        <item x="763"/>
        <item x="2429"/>
        <item x="2422"/>
        <item x="2221"/>
        <item x="2694"/>
        <item x="2663"/>
        <item x="366"/>
        <item x="1864"/>
        <item x="2665"/>
        <item x="1338"/>
        <item x="2423"/>
        <item x="2043"/>
        <item x="1055"/>
        <item x="1372"/>
        <item x="182"/>
        <item x="1443"/>
        <item x="1492"/>
        <item x="2553"/>
        <item x="2483"/>
        <item x="2733"/>
        <item x="2445"/>
        <item x="1400"/>
        <item x="331"/>
        <item x="2512"/>
        <item x="750"/>
        <item x="937"/>
        <item x="2102"/>
        <item x="2681"/>
        <item x="348"/>
        <item x="2519"/>
        <item x="16"/>
        <item x="1880"/>
        <item x="1192"/>
        <item x="1180"/>
        <item x="2435"/>
        <item x="2299"/>
        <item x="666"/>
        <item x="2032"/>
        <item x="1729"/>
        <item x="1121"/>
        <item x="533"/>
        <item x="1806"/>
        <item x="1726"/>
        <item x="876"/>
        <item x="2551"/>
        <item x="1278"/>
        <item x="462"/>
        <item x="2488"/>
        <item x="788"/>
        <item x="1484"/>
        <item x="2078"/>
        <item x="1908"/>
        <item x="2189"/>
        <item x="1683"/>
        <item x="983"/>
        <item x="1533"/>
        <item x="126"/>
        <item x="2231"/>
        <item x="1187"/>
        <item x="2302"/>
        <item x="2254"/>
        <item x="907"/>
        <item x="1664"/>
        <item x="1463"/>
        <item x="1551"/>
        <item x="1339"/>
        <item x="605"/>
        <item x="2116"/>
        <item x="1456"/>
        <item x="2436"/>
        <item x="2139"/>
        <item x="2269"/>
        <item x="2540"/>
        <item x="748"/>
        <item x="1673"/>
        <item x="2583"/>
        <item x="1461"/>
        <item x="1640"/>
        <item x="901"/>
        <item x="2703"/>
        <item x="1120"/>
        <item x="2343"/>
        <item x="2454"/>
        <item x="1090"/>
        <item x="1499"/>
        <item x="2495"/>
        <item x="776"/>
        <item x="2394"/>
        <item x="228"/>
        <item x="2655"/>
        <item x="2107"/>
        <item x="1473"/>
        <item x="1438"/>
        <item x="2713"/>
        <item x="792"/>
        <item x="1980"/>
        <item x="406"/>
        <item x="1737"/>
        <item x="2619"/>
        <item x="352"/>
        <item x="2748"/>
        <item x="401"/>
        <item x="1201"/>
        <item x="202"/>
        <item x="2591"/>
        <item x="2242"/>
        <item x="1397"/>
        <item x="121"/>
        <item x="2287"/>
        <item x="1336"/>
        <item x="386"/>
        <item x="1268"/>
        <item x="933"/>
        <item x="2428"/>
        <item x="2506"/>
        <item x="745"/>
        <item x="444"/>
        <item x="2527"/>
        <item x="2134"/>
        <item x="240"/>
        <item x="285"/>
        <item x="2466"/>
        <item x="2356"/>
        <item x="1971"/>
        <item x="1383"/>
        <item x="918"/>
        <item x="2329"/>
        <item x="2572"/>
        <item x="1745"/>
        <item x="1085"/>
        <item x="2486"/>
        <item x="991"/>
        <item x="1556"/>
        <item x="2704"/>
        <item x="2468"/>
        <item x="2125"/>
        <item x="1502"/>
        <item x="1856"/>
        <item x="1722"/>
        <item x="2592"/>
        <item x="2531"/>
        <item x="73"/>
        <item x="540"/>
        <item x="953"/>
        <item x="1744"/>
        <item x="2071"/>
        <item x="1106"/>
        <item x="2453"/>
        <item x="1751"/>
        <item x="131"/>
        <item x="1"/>
        <item x="955"/>
        <item x="2657"/>
        <item x="1097"/>
        <item x="360"/>
        <item x="1631"/>
        <item x="1227"/>
        <item x="2415"/>
        <item x="546"/>
        <item x="1434"/>
        <item x="1579"/>
        <item x="357"/>
        <item x="1749"/>
        <item x="2252"/>
        <item x="2122"/>
        <item x="1870"/>
        <item x="941"/>
        <item x="54"/>
        <item x="1875"/>
        <item x="2452"/>
        <item x="870"/>
        <item x="744"/>
        <item x="1803"/>
        <item x="2066"/>
        <item x="1986"/>
        <item x="2264"/>
        <item x="430"/>
        <item x="2223"/>
        <item x="2015"/>
        <item x="1553"/>
        <item x="951"/>
        <item x="562"/>
        <item x="1376"/>
        <item x="407"/>
        <item x="784"/>
        <item x="2611"/>
        <item x="2642"/>
        <item x="796"/>
        <item x="1648"/>
        <item x="2431"/>
        <item x="180"/>
        <item x="930"/>
        <item x="2595"/>
        <item x="2671"/>
        <item x="989"/>
        <item x="1191"/>
        <item x="2387"/>
        <item x="856"/>
        <item x="1794"/>
        <item x="1734"/>
        <item x="2114"/>
        <item x="1681"/>
        <item x="2446"/>
        <item x="2296"/>
        <item x="1264"/>
        <item x="2420"/>
        <item x="393"/>
        <item x="1084"/>
        <item x="2068"/>
        <item x="747"/>
        <item x="777"/>
        <item x="2336"/>
        <item x="1030"/>
        <item x="1444"/>
        <item x="1969"/>
        <item x="354"/>
        <item x="1984"/>
        <item x="1107"/>
        <item x="1542"/>
        <item x="2241"/>
        <item x="861"/>
        <item x="151"/>
        <item x="1196"/>
        <item x="64"/>
        <item x="2682"/>
        <item x="572"/>
        <item x="2369"/>
        <item x="2149"/>
        <item x="295"/>
        <item x="928"/>
        <item x="349"/>
        <item x="2448"/>
        <item x="2684"/>
        <item x="963"/>
        <item x="905"/>
        <item x="0"/>
        <item x="1508"/>
        <item x="2037"/>
        <item x="2152"/>
        <item x="1686"/>
        <item x="1038"/>
        <item x="1843"/>
        <item x="1315"/>
        <item x="2559"/>
        <item x="2654"/>
        <item x="2673"/>
        <item x="1879"/>
        <item x="2706"/>
        <item x="1860"/>
        <item x="1663"/>
        <item x="2412"/>
        <item x="67"/>
        <item x="2135"/>
        <item x="609"/>
        <item x="1938"/>
        <item x="2225"/>
        <item x="786"/>
        <item x="116"/>
        <item x="1431"/>
        <item x="767"/>
        <item x="1175"/>
        <item x="2547"/>
        <item x="2017"/>
        <item x="2077"/>
        <item x="2094"/>
        <item x="2690"/>
        <item x="1454"/>
        <item x="2011"/>
        <item x="949"/>
        <item x="536"/>
        <item x="2480"/>
        <item x="1425"/>
        <item x="1617"/>
        <item x="2489"/>
        <item x="2494"/>
        <item x="2346"/>
        <item x="178"/>
        <item x="1957"/>
        <item x="1948"/>
        <item x="1847"/>
        <item x="534"/>
        <item x="225"/>
        <item x="2490"/>
        <item x="1581"/>
        <item x="2621"/>
        <item x="1974"/>
        <item x="2687"/>
        <item x="234"/>
        <item x="478"/>
        <item x="2695"/>
        <item x="909"/>
        <item x="610"/>
        <item x="2672"/>
        <item x="2622"/>
        <item x="2676"/>
        <item x="1622"/>
        <item x="1558"/>
        <item x="1652"/>
        <item x="2580"/>
        <item x="914"/>
        <item x="2020"/>
        <item x="882"/>
        <item x="409"/>
        <item x="1711"/>
        <item x="2234"/>
        <item x="99"/>
        <item x="1041"/>
        <item x="119"/>
        <item x="1471"/>
        <item x="2523"/>
        <item x="1855"/>
        <item x="1087"/>
        <item x="1973"/>
        <item x="45"/>
        <item x="1985"/>
        <item x="962"/>
        <item x="62"/>
        <item x="1118"/>
        <item x="378"/>
        <item x="2467"/>
        <item x="2634"/>
        <item x="1810"/>
        <item x="2550"/>
        <item x="1292"/>
        <item x="1221"/>
        <item x="1871"/>
        <item x="61"/>
        <item x="2463"/>
        <item x="2662"/>
        <item x="2457"/>
        <item x="839"/>
        <item x="1112"/>
        <item x="1882"/>
        <item x="238"/>
        <item x="2275"/>
        <item x="601"/>
        <item x="334"/>
        <item x="1091"/>
        <item x="2249"/>
        <item x="824"/>
        <item x="690"/>
        <item x="123"/>
        <item x="1747"/>
        <item x="502"/>
        <item x="1801"/>
        <item x="452"/>
        <item x="2347"/>
        <item x="2270"/>
        <item x="1933"/>
        <item x="815"/>
        <item x="974"/>
        <item x="363"/>
        <item x="1791"/>
        <item x="2115"/>
        <item x="739"/>
        <item x="1394"/>
        <item x="2510"/>
        <item x="1057"/>
        <item x="2024"/>
        <item x="1377"/>
        <item x="769"/>
        <item x="520"/>
        <item x="2401"/>
        <item x="1854"/>
        <item x="1916"/>
        <item x="1253"/>
        <item x="2357"/>
        <item x="743"/>
        <item x="2552"/>
        <item x="2390"/>
        <item x="1654"/>
        <item x="1103"/>
        <item x="1079"/>
        <item x="2106"/>
        <item x="305"/>
        <item x="2533"/>
        <item x="2464"/>
        <item x="332"/>
        <item x="2526"/>
        <item x="475"/>
        <item x="1820"/>
        <item x="592"/>
        <item x="2295"/>
        <item x="322"/>
        <item x="2341"/>
        <item x="782"/>
        <item x="1182"/>
        <item x="405"/>
        <item x="2373"/>
        <item x="1102"/>
        <item x="591"/>
        <item x="2618"/>
        <item x="2215"/>
        <item x="1954"/>
        <item x="960"/>
        <item x="2257"/>
        <item x="2354"/>
        <item x="576"/>
        <item x="273"/>
        <item x="2711"/>
        <item x="2080"/>
        <item x="1889"/>
        <item x="1626"/>
        <item x="1552"/>
        <item x="2128"/>
        <item x="1541"/>
        <item x="1036"/>
        <item x="1178"/>
        <item x="515"/>
        <item x="843"/>
        <item x="1949"/>
        <item x="1804"/>
        <item x="2259"/>
        <item x="637"/>
        <item x="2674"/>
        <item x="778"/>
        <item x="2271"/>
        <item x="2637"/>
        <item x="2624"/>
        <item x="1931"/>
        <item x="2191"/>
        <item x="2005"/>
        <item x="2083"/>
        <item x="2244"/>
        <item x="300"/>
        <item x="1910"/>
        <item x="1284"/>
        <item x="1572"/>
        <item x="749"/>
        <item x="72"/>
        <item x="2485"/>
        <item x="1146"/>
        <item x="2363"/>
        <item x="958"/>
        <item x="2031"/>
        <item x="2696"/>
        <item x="353"/>
        <item x="1822"/>
        <item x="470"/>
        <item x="2608"/>
        <item x="847"/>
        <item x="135"/>
        <item x="12"/>
        <item x="1633"/>
        <item x="136"/>
        <item x="789"/>
        <item x="1790"/>
        <item x="2567"/>
        <item x="2596"/>
        <item x="1650"/>
        <item x="686"/>
        <item x="1405"/>
        <item x="2680"/>
        <item x="725"/>
        <item x="23"/>
        <item x="1582"/>
        <item x="2757"/>
        <item x="2331"/>
        <item x="440"/>
        <item x="2046"/>
        <item x="2339"/>
        <item x="2395"/>
        <item x="859"/>
        <item x="2330"/>
        <item x="2111"/>
        <item x="2542"/>
        <item x="2212"/>
        <item x="394"/>
        <item x="853"/>
        <item x="2554"/>
        <item x="2692"/>
        <item x="2096"/>
        <item x="1873"/>
        <item x="658"/>
        <item x="2416"/>
        <item x="1962"/>
        <item x="336"/>
        <item x="2140"/>
        <item x="2649"/>
        <item x="2666"/>
        <item x="2070"/>
        <item x="2520"/>
        <item x="480"/>
        <item x="2288"/>
        <item x="469"/>
        <item x="946"/>
        <item x="1724"/>
        <item x="2386"/>
        <item x="2578"/>
        <item x="585"/>
        <item x="1418"/>
        <item x="1796"/>
        <item x="2670"/>
        <item x="2615"/>
        <item x="616"/>
        <item x="2614"/>
        <item x="1446"/>
        <item x="230"/>
        <item x="2659"/>
        <item x="2040"/>
        <item x="2145"/>
        <item x="623"/>
        <item x="1978"/>
        <item x="2328"/>
        <item x="1122"/>
        <item x="468"/>
        <item x="309"/>
        <item x="1370"/>
        <item x="2491"/>
        <item x="2388"/>
        <item x="2182"/>
        <item x="875"/>
        <item x="447"/>
        <item x="2607"/>
        <item x="1830"/>
        <item x="1662"/>
        <item x="55"/>
        <item x="1503"/>
        <item x="2437"/>
        <item x="1679"/>
        <item x="2098"/>
        <item x="2500"/>
        <item x="1832"/>
        <item x="368"/>
        <item x="1800"/>
        <item x="873"/>
        <item x="2297"/>
        <item x="934"/>
        <item x="1590"/>
        <item x="877"/>
        <item x="2294"/>
        <item x="1231"/>
        <item x="1708"/>
        <item x="1073"/>
        <item x="959"/>
        <item x="2054"/>
        <item x="2348"/>
        <item x="134"/>
        <item x="2705"/>
        <item x="927"/>
        <item x="1932"/>
        <item x="1046"/>
        <item x="1975"/>
        <item x="899"/>
        <item x="1266"/>
        <item x="427"/>
        <item x="1668"/>
        <item x="2447"/>
        <item x="926"/>
        <item x="595"/>
        <item x="1568"/>
        <item x="359"/>
        <item x="129"/>
        <item x="2521"/>
        <item x="1220"/>
        <item x="1402"/>
        <item x="531"/>
        <item x="464"/>
        <item x="1269"/>
        <item x="117"/>
        <item x="703"/>
        <item x="2679"/>
        <item x="1685"/>
        <item x="1272"/>
        <item x="373"/>
        <item x="1836"/>
        <item x="338"/>
        <item x="670"/>
        <item x="896"/>
        <item x="2079"/>
        <item x="1265"/>
        <item x="1966"/>
        <item x="771"/>
        <item x="210"/>
        <item x="1132"/>
        <item x="2677"/>
        <item x="602"/>
        <item x="1094"/>
        <item x="2352"/>
        <item x="1661"/>
        <item x="2237"/>
        <item x="2048"/>
        <item x="1133"/>
        <item x="211"/>
        <item x="1083"/>
        <item x="1618"/>
        <item x="708"/>
        <item x="2590"/>
        <item x="181"/>
        <item x="921"/>
        <item x="1202"/>
        <item x="535"/>
        <item x="2546"/>
        <item x="2306"/>
        <item x="120"/>
        <item x="2693"/>
        <item x="2516"/>
        <item x="1379"/>
        <item x="1445"/>
        <item x="174"/>
        <item x="139"/>
        <item x="2656"/>
        <item x="943"/>
        <item x="1414"/>
        <item x="981"/>
        <item x="924"/>
        <item x="2651"/>
        <item x="1228"/>
        <item x="263"/>
        <item x="634"/>
        <item x="1639"/>
        <item x="221"/>
        <item x="823"/>
        <item x="1203"/>
        <item x="644"/>
        <item x="916"/>
        <item x="2359"/>
        <item x="2049"/>
        <item x="2478"/>
        <item x="1888"/>
        <item x="1656"/>
        <item x="1388"/>
        <item x="2653"/>
        <item x="1114"/>
        <item x="2398"/>
        <item x="2060"/>
        <item x="2499"/>
        <item x="2404"/>
        <item x="1834"/>
        <item x="5"/>
        <item x="925"/>
        <item x="339"/>
        <item x="1399"/>
        <item x="2476"/>
        <item x="1841"/>
        <item x="1144"/>
        <item x="2410"/>
        <item x="1282"/>
        <item x="111"/>
        <item x="1507"/>
        <item x="1560"/>
        <item x="292"/>
        <item x="1623"/>
        <item x="1608"/>
        <item x="1497"/>
        <item x="118"/>
        <item x="1078"/>
        <item x="785"/>
        <item x="2678"/>
        <item x="632"/>
        <item x="1808"/>
        <item x="1628"/>
        <item x="2084"/>
        <item x="2631"/>
        <item x="887"/>
        <item x="2101"/>
        <item x="880"/>
        <item x="2432"/>
        <item x="846"/>
        <item x="2047"/>
        <item x="2484"/>
        <item x="1725"/>
        <item x="483"/>
        <item x="1117"/>
        <item x="137"/>
        <item x="2426"/>
        <item x="1086"/>
        <item x="257"/>
        <item x="370"/>
        <item x="2279"/>
        <item x="2402"/>
        <item x="398"/>
        <item x="1469"/>
        <item x="975"/>
        <item x="2136"/>
        <item x="1359"/>
        <item x="1319"/>
        <item x="206"/>
        <item x="1293"/>
        <item x="1059"/>
        <item x="2065"/>
        <item x="1261"/>
        <item x="421"/>
        <item x="1543"/>
        <item x="889"/>
        <item x="2555"/>
        <item x="1828"/>
        <item x="2039"/>
        <item x="2587"/>
        <item x="833"/>
        <item x="1287"/>
        <item x="956"/>
        <item x="2086"/>
        <item x="1351"/>
        <item x="179"/>
        <item x="231"/>
        <item x="1562"/>
        <item x="1254"/>
        <item x="1002"/>
        <item x="2119"/>
        <item x="1205"/>
        <item x="611"/>
        <item x="2292"/>
        <item x="1241"/>
        <item x="1260"/>
        <item x="1289"/>
        <item x="726"/>
        <item x="985"/>
        <item x="358"/>
        <item x="699"/>
        <item x="2100"/>
        <item x="1500"/>
        <item x="2628"/>
        <item x="2568"/>
        <item x="2465"/>
        <item x="1878"/>
        <item x="1167"/>
        <item x="2280"/>
        <item x="1204"/>
        <item x="606"/>
        <item x="2050"/>
        <item x="736"/>
        <item x="1279"/>
        <item x="329"/>
        <item x="1130"/>
        <item x="1153"/>
        <item x="2575"/>
        <item x="978"/>
        <item x="2630"/>
        <item x="443"/>
        <item x="347"/>
        <item x="1548"/>
        <item x="1024"/>
        <item x="2405"/>
        <item x="2148"/>
        <item x="1515"/>
        <item x="1716"/>
        <item x="60"/>
        <item x="58"/>
        <item x="1833"/>
        <item x="100"/>
        <item x="2076"/>
        <item x="1111"/>
        <item x="2112"/>
        <item x="650"/>
        <item x="581"/>
        <item x="2285"/>
        <item x="1067"/>
        <item x="825"/>
        <item x="980"/>
        <item x="2142"/>
        <item x="13"/>
        <item x="1616"/>
        <item x="2104"/>
        <item x="1534"/>
        <item x="612"/>
        <item x="290"/>
        <item x="2019"/>
        <item x="1919"/>
        <item x="1263"/>
        <item x="561"/>
        <item x="2335"/>
        <item x="485"/>
        <item x="1983"/>
        <item x="886"/>
        <item x="579"/>
        <item x="2179"/>
        <item x="2616"/>
        <item x="1459"/>
        <item x="2557"/>
        <item x="2588"/>
        <item x="2474"/>
        <item x="1886"/>
        <item x="830"/>
        <item x="1907"/>
        <item x="391"/>
        <item x="2154"/>
        <item x="635"/>
        <item x="1007"/>
        <item x="1170"/>
        <item x="476"/>
        <item x="1135"/>
        <item x="3"/>
        <item x="1390"/>
        <item x="2664"/>
        <item x="631"/>
        <item x="2067"/>
        <item x="69"/>
        <item x="990"/>
        <item x="2584"/>
        <item x="2511"/>
        <item x="445"/>
        <item x="701"/>
        <item x="692"/>
        <item x="817"/>
        <item x="716"/>
        <item x="2691"/>
        <item x="327"/>
        <item x="717"/>
        <item x="2014"/>
        <item x="1142"/>
        <item x="1262"/>
        <item x="607"/>
        <item x="2685"/>
        <item x="1229"/>
        <item x="1050"/>
        <item x="2710"/>
        <item x="986"/>
        <item x="593"/>
        <item x="272"/>
        <item x="1069"/>
        <item x="1570"/>
        <item x="1071"/>
        <item x="1218"/>
        <item x="1940"/>
        <item x="1635"/>
        <item x="436"/>
        <item x="730"/>
        <item x="207"/>
        <item x="2639"/>
        <item x="2026"/>
        <item x="415"/>
        <item x="101"/>
        <item x="1003"/>
        <item x="2496"/>
        <item x="2539"/>
        <item x="166"/>
        <item x="1987"/>
        <item x="484"/>
        <item x="714"/>
        <item x="773"/>
        <item x="2042"/>
        <item x="1674"/>
        <item x="599"/>
        <item x="307"/>
        <item x="923"/>
        <item x="112"/>
        <item x="148"/>
        <item x="2532"/>
        <item x="418"/>
        <item x="1496"/>
        <item x="1210"/>
        <item x="718"/>
        <item x="1092"/>
        <item x="1941"/>
        <item x="995"/>
        <item x="2438"/>
        <item x="2396"/>
        <item x="2392"/>
        <item x="260"/>
        <item x="2571"/>
        <item x="1881"/>
        <item x="259"/>
        <item x="1416"/>
        <item x="834"/>
        <item x="564"/>
        <item x="614"/>
        <item x="1792"/>
        <item x="191"/>
        <item x="2"/>
        <item x="849"/>
        <item x="2644"/>
        <item x="1934"/>
        <item x="627"/>
        <item x="53"/>
        <item x="1911"/>
        <item x="2124"/>
        <item x="1544"/>
        <item x="1089"/>
        <item x="1805"/>
        <item x="2522"/>
        <item x="2508"/>
        <item x="1798"/>
        <item x="1587"/>
        <item x="437"/>
        <item x="1255"/>
        <item x="2099"/>
        <item x="1014"/>
        <item x="1680"/>
        <item x="2503"/>
        <item x="2281"/>
        <item x="416"/>
        <item x="2290"/>
        <item x="171"/>
        <item x="1140"/>
        <item x="735"/>
        <item x="1026"/>
        <item x="167"/>
        <item x="1689"/>
        <item x="660"/>
        <item x="1017"/>
        <item x="2407"/>
        <item x="2545"/>
        <item x="1257"/>
        <item x="46"/>
        <item x="2440"/>
        <item x="713"/>
        <item x="1281"/>
        <item x="1058"/>
        <item x="1906"/>
        <item x="2594"/>
        <item x="1116"/>
        <item x="1104"/>
        <item x="1274"/>
        <item x="2120"/>
        <item x="10"/>
        <item x="1676"/>
        <item x="425"/>
        <item x="1491"/>
        <item x="2345"/>
        <item x="2760"/>
        <item x="2344"/>
        <item x="1909"/>
        <item x="304"/>
        <item x="1922"/>
        <item x="2602"/>
        <item x="2589"/>
        <item x="310"/>
        <item x="356"/>
        <item x="2442"/>
        <item x="1008"/>
        <item x="2028"/>
        <item x="2603"/>
        <item x="1031"/>
        <item x="2528"/>
        <item x="2683"/>
        <item x="246"/>
        <item x="1162"/>
        <item x="527"/>
        <item x="145"/>
        <item x="1124"/>
        <item x="929"/>
        <item x="271"/>
        <item x="2509"/>
        <item x="1894"/>
        <item x="2293"/>
        <item x="1614"/>
        <item x="70"/>
        <item x="2133"/>
        <item x="127"/>
        <item x="2576"/>
        <item x="1126"/>
        <item x="1953"/>
        <item x="2643"/>
        <item x="219"/>
        <item x="283"/>
        <item x="1506"/>
        <item x="412"/>
        <item x="1816"/>
        <item x="2702"/>
        <item x="2675"/>
        <item x="287"/>
        <item x="2605"/>
        <item x="141"/>
        <item x="1217"/>
        <item x="2758"/>
        <item x="2008"/>
        <item x="598"/>
        <item x="2273"/>
        <item x="1964"/>
        <item x="2606"/>
        <item x="224"/>
        <item x="15"/>
        <item x="214"/>
        <item x="618"/>
        <item x="2178"/>
        <item x="1212"/>
        <item x="1687"/>
        <item x="256"/>
        <item x="1509"/>
        <item x="2565"/>
        <item x="1164"/>
        <item x="1447"/>
        <item x="2459"/>
        <item x="122"/>
        <item x="83"/>
        <item x="2123"/>
        <item x="411"/>
        <item x="51"/>
        <item x="2113"/>
        <item x="2497"/>
        <item x="1677"/>
        <item x="1147"/>
        <item x="2660"/>
        <item x="1148"/>
        <item x="2502"/>
        <item x="254"/>
        <item x="2472"/>
        <item x="325"/>
        <item x="529"/>
        <item x="429"/>
        <item x="693"/>
        <item x="1516"/>
        <item x="1216"/>
        <item x="851"/>
        <item x="1037"/>
        <item x="1020"/>
        <item x="1065"/>
        <item x="2157"/>
        <item x="14"/>
        <item x="2144"/>
        <item x="1101"/>
        <item x="400"/>
        <item x="419"/>
        <item x="84"/>
        <item x="449"/>
        <item x="2647"/>
        <item x="1028"/>
        <item x="249"/>
        <item x="2501"/>
        <item x="737"/>
        <item x="461"/>
        <item x="1466"/>
        <item x="1368"/>
        <item x="2399"/>
        <item x="1242"/>
        <item x="639"/>
        <item x="2579"/>
        <item x="1812"/>
        <item x="1583"/>
        <item x="567"/>
        <item x="2638"/>
        <item x="2085"/>
        <item x="308"/>
        <item x="1759"/>
        <item x="2389"/>
        <item x="1297"/>
        <item x="821"/>
        <item x="620"/>
        <item x="1168"/>
        <item x="2301"/>
        <item x="1901"/>
        <item x="1355"/>
        <item x="1748"/>
        <item x="279"/>
        <item x="2581"/>
        <item x="2036"/>
        <item x="1825"/>
        <item x="526"/>
        <item x="1305"/>
        <item x="140"/>
        <item x="1921"/>
        <item x="2708"/>
        <item x="277"/>
        <item x="872"/>
        <item x="1213"/>
        <item x="971"/>
        <item x="2450"/>
        <item x="1950"/>
        <item x="721"/>
        <item x="1362"/>
        <item x="1290"/>
        <item x="1574"/>
        <item x="2233"/>
        <item x="2585"/>
        <item x="146"/>
        <item x="2298"/>
        <item x="133"/>
        <item x="1457"/>
        <item x="1165"/>
        <item x="2349"/>
        <item x="891"/>
        <item x="857"/>
        <item x="1323"/>
        <item x="2305"/>
        <item x="1512"/>
        <item x="1051"/>
        <item x="1584"/>
        <item x="1750"/>
        <item x="845"/>
        <item x="2141"/>
        <item x="1452"/>
        <item x="569"/>
        <item x="640"/>
        <item x="2736"/>
        <item x="18"/>
        <item x="1981"/>
        <item x="278"/>
        <item x="1893"/>
        <item x="486"/>
        <item x="442"/>
        <item x="521"/>
        <item x="276"/>
        <item x="2300"/>
        <item x="472"/>
        <item x="396"/>
        <item x="1743"/>
        <item x="17"/>
        <item x="1245"/>
        <item x="19"/>
        <item x="107"/>
        <item x="1561"/>
        <item x="1129"/>
        <item x="2232"/>
        <item x="881"/>
        <item x="2641"/>
        <item x="333"/>
        <item x="1013"/>
        <item x="984"/>
        <item x="1011"/>
        <item x="1895"/>
        <item x="1392"/>
        <item x="2057"/>
        <item x="2513"/>
        <item x="157"/>
        <item x="152"/>
        <item x="719"/>
        <item x="617"/>
        <item x="1678"/>
        <item x="1353"/>
        <item x="1131"/>
        <item x="2646"/>
        <item x="831"/>
        <item x="965"/>
        <item x="629"/>
        <item x="2562"/>
        <item x="838"/>
        <item x="466"/>
        <item x="404"/>
        <item x="66"/>
        <item x="2524"/>
        <item x="397"/>
        <item x="1946"/>
        <item x="422"/>
        <item x="537"/>
        <item x="528"/>
        <item x="722"/>
        <item x="2481"/>
        <item x="1291"/>
        <item x="432"/>
        <item x="1307"/>
        <item x="615"/>
        <item x="245"/>
        <item x="1578"/>
        <item x="48"/>
        <item x="371"/>
        <item x="169"/>
        <item x="375"/>
        <item x="1230"/>
        <item x="109"/>
        <item x="1675"/>
        <item x="2593"/>
        <item x="706"/>
        <item x="450"/>
        <item x="1573"/>
        <item x="1391"/>
        <item x="1234"/>
        <item x="1945"/>
        <item x="659"/>
        <item x="1110"/>
        <item x="2340"/>
        <item x="999"/>
        <item x="1136"/>
        <item x="313"/>
        <item x="482"/>
        <item x="96"/>
        <item x="1034"/>
        <item x="2525"/>
        <item x="890"/>
        <item x="144"/>
        <item x="2061"/>
        <item x="643"/>
        <item x="1756"/>
        <item x="2564"/>
        <item x="1467"/>
        <item x="1062"/>
        <item x="1300"/>
        <item x="2118"/>
        <item x="2617"/>
        <item x="1197"/>
        <item x="885"/>
        <item x="2648"/>
        <item x="364"/>
        <item x="2351"/>
        <item x="2030"/>
        <item x="1354"/>
        <item x="2433"/>
        <item x="2574"/>
        <item x="931"/>
        <item x="243"/>
        <item x="420"/>
        <item x="2027"/>
        <item x="724"/>
        <item x="1752"/>
        <item x="1495"/>
        <item x="255"/>
        <item x="1621"/>
        <item x="1310"/>
        <item x="454"/>
        <item x="2051"/>
        <item x="1239"/>
        <item x="622"/>
        <item x="2406"/>
        <item x="479"/>
        <item x="431"/>
        <item x="390"/>
        <item x="59"/>
        <item x="2307"/>
        <item x="587"/>
        <item x="438"/>
        <item x="1352"/>
        <item x="9"/>
        <item x="274"/>
        <item x="1308"/>
        <item x="2469"/>
        <item x="774"/>
        <item x="732"/>
        <item x="2022"/>
        <item x="1295"/>
        <item x="2131"/>
        <item x="729"/>
        <item x="2103"/>
        <item x="303"/>
        <item x="2563"/>
        <item x="205"/>
        <item x="2159"/>
        <item x="1939"/>
        <item x="247"/>
        <item x="381"/>
        <item x="2518"/>
        <item x="1200"/>
        <item x="961"/>
        <item x="783"/>
        <item x="229"/>
        <item x="1100"/>
        <item x="2025"/>
        <item x="284"/>
        <item x="467"/>
        <item x="1171"/>
        <item x="1223"/>
        <item x="1025"/>
        <item x="1793"/>
        <item x="888"/>
        <item x="837"/>
        <item x="1298"/>
        <item x="707"/>
        <item x="948"/>
        <item x="2283"/>
        <item x="2529"/>
        <item x="213"/>
        <item x="1005"/>
        <item x="1053"/>
        <item x="626"/>
        <item x="1465"/>
        <item x="128"/>
        <item x="538"/>
        <item x="306"/>
        <item x="31"/>
        <item x="998"/>
        <item x="492"/>
        <item x="1899"/>
        <item x="269"/>
        <item x="2055"/>
        <item x="1321"/>
        <item x="374"/>
        <item x="2109"/>
        <item x="1787"/>
        <item x="2355"/>
        <item x="952"/>
        <item x="188"/>
        <item x="40"/>
        <item x="852"/>
        <item x="403"/>
        <item x="417"/>
        <item x="1207"/>
        <item x="738"/>
        <item x="218"/>
        <item x="2530"/>
        <item x="1288"/>
        <item x="298"/>
        <item x="968"/>
        <item x="720"/>
        <item x="2441"/>
        <item x="524"/>
        <item x="850"/>
        <item x="741"/>
        <item x="280"/>
        <item x="2350"/>
        <item x="2408"/>
        <item x="267"/>
        <item x="1105"/>
        <item x="2158"/>
        <item x="517"/>
        <item x="2632"/>
        <item x="106"/>
        <item x="1302"/>
        <item x="1955"/>
        <item x="57"/>
        <item x="2560"/>
        <item x="1785"/>
        <item x="164"/>
        <item x="987"/>
        <item x="2303"/>
        <item x="1039"/>
        <item x="2021"/>
        <item x="649"/>
        <item x="2044"/>
        <item x="1163"/>
        <item x="473"/>
        <item x="2455"/>
        <item x="323"/>
        <item x="858"/>
        <item x="376"/>
        <item x="818"/>
        <item x="1198"/>
        <item x="1063"/>
        <item x="1280"/>
        <item x="704"/>
        <item x="1233"/>
        <item x="1620"/>
        <item x="1619"/>
        <item x="1897"/>
        <item x="1303"/>
        <item x="1152"/>
        <item x="883"/>
        <item x="1134"/>
        <item x="865"/>
        <item x="651"/>
        <item x="1947"/>
        <item x="570"/>
        <item x="426"/>
        <item x="2108"/>
        <item x="969"/>
        <item x="2342"/>
        <item x="844"/>
        <item x="1564"/>
        <item x="2053"/>
        <item x="82"/>
        <item x="574"/>
        <item x="855"/>
        <item x="252"/>
        <item x="395"/>
        <item x="2308"/>
        <item x="1566"/>
        <item x="2353"/>
        <item x="994"/>
        <item x="2661"/>
        <item x="56"/>
        <item x="399"/>
        <item x="532"/>
        <item x="114"/>
        <item x="543"/>
        <item x="1887"/>
        <item x="4"/>
        <item x="2035"/>
        <item x="2633"/>
        <item x="711"/>
        <item x="385"/>
        <item x="1322"/>
        <item x="481"/>
        <item x="413"/>
        <item x="379"/>
        <item x="547"/>
        <item x="1357"/>
        <item x="159"/>
        <item x="810"/>
        <item x="997"/>
        <item x="619"/>
        <item x="860"/>
        <item x="544"/>
        <item x="590"/>
        <item x="957"/>
        <item x="1629"/>
        <item x="1468"/>
        <item x="75"/>
        <item x="1313"/>
        <item x="293"/>
        <item x="1762"/>
        <item x="1682"/>
        <item x="1956"/>
        <item x="1346"/>
        <item x="2151"/>
        <item x="1580"/>
        <item x="669"/>
        <item x="113"/>
        <item x="2029"/>
        <item x="1151"/>
        <item x="1157"/>
        <item x="1248"/>
        <item x="1056"/>
        <item x="1226"/>
        <item x="1450"/>
        <item x="1448"/>
        <item x="1364"/>
        <item x="138"/>
        <item x="33"/>
        <item x="573"/>
        <item x="2230"/>
        <item x="1243"/>
        <item x="1311"/>
        <item x="1206"/>
        <item x="2601"/>
        <item x="268"/>
        <item x="1632"/>
        <item x="132"/>
        <item x="588"/>
        <item x="26"/>
        <item x="2409"/>
        <item x="165"/>
        <item x="696"/>
        <item x="2761"/>
        <item x="446"/>
        <item x="1006"/>
        <item x="63"/>
        <item x="1128"/>
        <item x="519"/>
        <item x="842"/>
        <item x="525"/>
        <item x="94"/>
        <item x="1935"/>
        <item x="1064"/>
        <item x="428"/>
        <item x="1460"/>
        <item x="1569"/>
        <item x="294"/>
        <item x="2599"/>
        <item x="1010"/>
        <item x="1099"/>
        <item x="1155"/>
        <item x="1936"/>
        <item x="1952"/>
        <item x="715"/>
        <item x="2338"/>
        <item x="878"/>
        <item x="1642"/>
        <item x="7"/>
        <item x="175"/>
        <item x="628"/>
        <item x="1219"/>
        <item x="1636"/>
        <item x="1232"/>
        <item x="1154"/>
        <item x="976"/>
        <item x="871"/>
        <item x="1712"/>
        <item x="491"/>
        <item x="1755"/>
        <item x="1514"/>
        <item x="1018"/>
        <item x="318"/>
        <item x="1350"/>
        <item x="1892"/>
        <item x="71"/>
        <item x="2012"/>
        <item x="828"/>
        <item x="1753"/>
        <item x="1634"/>
        <item x="1174"/>
        <item x="296"/>
        <item x="874"/>
        <item x="108"/>
        <item x="1211"/>
        <item x="1630"/>
        <item x="2573"/>
        <item x="1060"/>
        <item x="563"/>
        <item x="451"/>
        <item x="2613"/>
        <item x="1576"/>
        <item x="2258"/>
        <item x="1356"/>
        <item x="559"/>
        <item x="1244"/>
        <item x="1638"/>
        <item x="47"/>
        <item x="2358"/>
        <item x="656"/>
        <item x="1035"/>
        <item x="1627"/>
        <item x="884"/>
        <item x="1361"/>
        <item x="2105"/>
        <item x="553"/>
        <item x="1589"/>
        <item x="365"/>
        <item x="1158"/>
        <item x="1449"/>
        <item x="558"/>
        <item x="700"/>
        <item x="65"/>
        <item x="220"/>
        <item x="1624"/>
        <item x="549"/>
        <item x="705"/>
        <item x="170"/>
        <item x="661"/>
        <item x="993"/>
        <item x="153"/>
        <item x="1156"/>
        <item x="1214"/>
        <item x="2018"/>
        <item x="835"/>
        <item x="458"/>
        <item x="1075"/>
        <item x="710"/>
        <item x="197"/>
        <item x="1761"/>
        <item x="77"/>
        <item x="522"/>
        <item x="539"/>
        <item x="1029"/>
        <item x="1786"/>
        <item x="286"/>
        <item x="98"/>
        <item x="582"/>
        <item x="1318"/>
        <item x="78"/>
        <item x="577"/>
        <item x="698"/>
        <item x="158"/>
        <item x="463"/>
        <item x="471"/>
        <item x="265"/>
        <item x="456"/>
        <item x="222"/>
        <item x="110"/>
        <item x="1049"/>
        <item x="2379"/>
        <item x="314"/>
        <item x="647"/>
        <item x="335"/>
        <item x="1741"/>
        <item x="829"/>
        <item x="389"/>
        <item x="261"/>
        <item x="264"/>
        <item x="1161"/>
        <item x="232"/>
        <item x="578"/>
        <item x="1436"/>
        <item x="1637"/>
        <item x="697"/>
        <item x="115"/>
        <item x="44"/>
        <item x="551"/>
        <item x="848"/>
        <item x="1567"/>
        <item x="291"/>
        <item x="977"/>
        <item x="185"/>
        <item x="2598"/>
        <item x="79"/>
        <item x="571"/>
        <item x="36"/>
        <item x="1571"/>
        <item x="248"/>
        <item x="1713"/>
        <item x="1366"/>
        <item x="1814"/>
        <item x="337"/>
        <item x="38"/>
        <item x="88"/>
        <item x="289"/>
        <item x="1271"/>
        <item x="864"/>
        <item x="621"/>
        <item x="1235"/>
        <item x="523"/>
        <item x="728"/>
        <item x="217"/>
        <item x="1898"/>
        <item x="2337"/>
        <item x="448"/>
        <item x="382"/>
        <item x="1316"/>
        <item x="630"/>
        <item x="1225"/>
        <item x="1735"/>
        <item x="155"/>
        <item x="457"/>
        <item x="236"/>
        <item x="242"/>
        <item x="1150"/>
        <item x="1891"/>
        <item x="1143"/>
        <item x="2056"/>
        <item x="1042"/>
        <item x="1367"/>
        <item x="695"/>
        <item x="694"/>
        <item x="2023"/>
        <item x="1942"/>
        <item x="1012"/>
        <item x="1937"/>
        <item x="1565"/>
        <item x="1358"/>
        <item x="2156"/>
        <item x="1159"/>
        <item x="2206"/>
        <item x="384"/>
        <item x="1249"/>
        <item x="2600"/>
        <item x="866"/>
        <item x="2132"/>
        <item x="226"/>
        <item x="281"/>
        <item x="227"/>
        <item x="2482"/>
        <item x="1027"/>
        <item x="1019"/>
        <item x="143"/>
        <item x="625"/>
        <item x="1498"/>
        <item x="568"/>
        <item x="459"/>
        <item x="251"/>
        <item x="1462"/>
        <item x="372"/>
        <item x="1166"/>
        <item x="460"/>
        <item x="37"/>
        <item x="1301"/>
        <item x="2153"/>
        <item x="819"/>
        <item x="68"/>
        <item x="550"/>
        <item x="2381"/>
        <item x="455"/>
        <item x="548"/>
        <item x="1754"/>
        <item x="377"/>
        <item x="1145"/>
        <item x="655"/>
        <item x="1137"/>
        <item x="215"/>
        <item x="556"/>
        <item x="200"/>
        <item x="2155"/>
        <item x="1306"/>
        <item x="223"/>
        <item x="150"/>
        <item x="149"/>
        <item x="95"/>
        <item x="988"/>
        <item x="668"/>
        <item x="664"/>
        <item x="557"/>
        <item x="244"/>
        <item x="1138"/>
        <item x="1238"/>
        <item x="1141"/>
        <item x="1959"/>
        <item x="1317"/>
        <item x="1023"/>
        <item x="2260"/>
        <item x="1575"/>
        <item x="216"/>
        <item x="1625"/>
        <item x="369"/>
        <item x="1343"/>
        <item x="762"/>
        <item x="2059"/>
        <item x="854"/>
        <item x="1371"/>
        <item x="253"/>
        <item x="1045"/>
        <item x="177"/>
        <item x="982"/>
        <item x="1250"/>
        <item x="93"/>
        <item x="330"/>
        <item x="545"/>
        <item x="979"/>
        <item x="176"/>
        <item x="1944"/>
        <item x="324"/>
        <item x="554"/>
        <item x="1577"/>
        <item x="814"/>
        <item x="1943"/>
        <item x="275"/>
        <item x="727"/>
        <item x="142"/>
        <item x="147"/>
        <item x="90"/>
        <item x="81"/>
        <item x="1247"/>
        <item x="317"/>
        <item x="542"/>
        <item x="652"/>
        <item x="198"/>
        <item x="91"/>
        <item x="1299"/>
        <item x="1021"/>
        <item x="2636"/>
        <item x="1345"/>
        <item x="648"/>
        <item x="2604"/>
        <item x="1022"/>
        <item x="41"/>
        <item x="1240"/>
        <item x="646"/>
        <item x="2610"/>
        <item x="642"/>
        <item x="194"/>
        <item x="441"/>
        <item x="662"/>
        <item x="105"/>
        <item x="27"/>
        <item x="822"/>
        <item x="321"/>
        <item x="1237"/>
        <item x="1044"/>
        <item x="34"/>
        <item x="654"/>
        <item x="1224"/>
        <item x="583"/>
        <item x="28"/>
        <item x="1160"/>
        <item x="266"/>
        <item x="29"/>
        <item x="560"/>
        <item x="645"/>
        <item x="1040"/>
        <item x="1149"/>
        <item x="624"/>
        <item x="1032"/>
        <item x="663"/>
        <item x="190"/>
        <item x="552"/>
        <item x="633"/>
        <item x="826"/>
        <item x="168"/>
        <item x="25"/>
        <item x="2535"/>
        <item x="250"/>
        <item x="575"/>
        <item x="580"/>
        <item x="160"/>
        <item x="1015"/>
        <item x="586"/>
        <item x="97"/>
        <item x="39"/>
        <item x="867"/>
        <item x="1951"/>
        <item x="20"/>
        <item x="1347"/>
        <item x="319"/>
        <item x="320"/>
        <item x="1365"/>
        <item x="1363"/>
        <item x="820"/>
        <item x="326"/>
        <item x="237"/>
        <item x="201"/>
        <item x="161"/>
        <item x="32"/>
        <item x="187"/>
        <item x="87"/>
        <item x="584"/>
        <item x="258"/>
        <item x="315"/>
        <item x="555"/>
        <item x="1001"/>
        <item x="288"/>
        <item x="328"/>
        <item x="49"/>
        <item x="1000"/>
        <item x="1236"/>
        <item x="832"/>
        <item x="239"/>
        <item x="1047"/>
        <item x="1016"/>
        <item x="163"/>
        <item x="1004"/>
        <item x="92"/>
        <item x="241"/>
        <item x="1538"/>
        <item x="465"/>
        <item x="195"/>
        <item x="270"/>
        <item x="199"/>
        <item x="1139"/>
        <item x="653"/>
        <item x="233"/>
        <item x="1641"/>
        <item x="189"/>
        <item x="193"/>
        <item x="262"/>
        <item x="209"/>
        <item x="184"/>
        <item x="86"/>
        <item x="1009"/>
        <item x="2203"/>
        <item x="688"/>
        <item x="192"/>
        <item x="85"/>
        <item x="1123"/>
        <item x="1033"/>
        <item x="2385"/>
        <item x="414"/>
        <item x="35"/>
        <item x="172"/>
        <item x="657"/>
        <item x="104"/>
        <item x="1961"/>
        <item x="489"/>
        <item x="162"/>
        <item x="80"/>
        <item x="316"/>
        <item x="827"/>
        <item x="2582"/>
        <item x="173"/>
        <item x="130"/>
        <item x="1536"/>
        <item x="89"/>
        <item x="2082"/>
        <item x="2458"/>
        <item x="42"/>
        <item x="1173"/>
        <item x="196"/>
        <item x="1809"/>
        <item x="30"/>
        <item x="186"/>
        <item x="1119"/>
        <item x="43"/>
        <item x="1960"/>
        <item x="103"/>
        <item x="1048"/>
        <item x="52"/>
        <item x="733"/>
        <item x="589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5C50E-15CC-4129-8941-6F124AA2C6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25">
    <pivotField showAll="0"/>
    <pivotField numFmtId="2" showAll="0"/>
    <pivotField showAll="0"/>
    <pivotField showAll="0"/>
    <pivotField dataField="1" numFmtId="2" showAll="0"/>
    <pivotField numFmtId="14"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A9BCA-93E9-4FFE-8EA9-BC34E463C4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3" firstHeaderRow="1" firstDataRow="1" firstDataCol="1"/>
  <pivotFields count="25">
    <pivotField showAll="0"/>
    <pivotField numFmtId="2" showAll="0"/>
    <pivotField showAll="0"/>
    <pivotField showAll="0"/>
    <pivotField dataField="1" numFmtId="2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C7E2-6A36-4F17-BD36-127CCD4547D2}">
  <dimension ref="A3:B7"/>
  <sheetViews>
    <sheetView workbookViewId="0">
      <selection activeCell="G13" sqref="G13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3" spans="1:2" x14ac:dyDescent="0.25">
      <c r="A3" s="8" t="s">
        <v>678</v>
      </c>
      <c r="B3" t="s">
        <v>680</v>
      </c>
    </row>
    <row r="4" spans="1:2" x14ac:dyDescent="0.25">
      <c r="A4" s="10">
        <v>2003</v>
      </c>
      <c r="B4" s="9">
        <v>3516979.540000001</v>
      </c>
    </row>
    <row r="5" spans="1:2" x14ac:dyDescent="0.25">
      <c r="A5" s="10">
        <v>2004</v>
      </c>
      <c r="B5" s="9">
        <v>4724162.5999999968</v>
      </c>
    </row>
    <row r="6" spans="1:2" x14ac:dyDescent="0.25">
      <c r="A6" s="10">
        <v>2005</v>
      </c>
      <c r="B6" s="9">
        <v>1791486.71</v>
      </c>
    </row>
    <row r="7" spans="1:2" x14ac:dyDescent="0.25">
      <c r="A7" s="10" t="s">
        <v>679</v>
      </c>
      <c r="B7" s="9">
        <v>10032628.849999998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F6E2-ABFA-4233-8F06-3DF0CAA9349B}">
  <dimension ref="A3:B11"/>
  <sheetViews>
    <sheetView workbookViewId="0">
      <selection sqref="A1:XFD1048576"/>
    </sheetView>
  </sheetViews>
  <sheetFormatPr defaultRowHeight="15" x14ac:dyDescent="0.25"/>
  <cols>
    <col min="1" max="1" width="16" bestFit="1" customWidth="1"/>
    <col min="2" max="2" width="12.7109375" bestFit="1" customWidth="1"/>
  </cols>
  <sheetData>
    <row r="3" spans="1:2" x14ac:dyDescent="0.25">
      <c r="A3" s="8" t="s">
        <v>678</v>
      </c>
      <c r="B3" t="s">
        <v>680</v>
      </c>
    </row>
    <row r="4" spans="1:2" x14ac:dyDescent="0.25">
      <c r="A4" s="10" t="s">
        <v>181</v>
      </c>
      <c r="B4" s="9">
        <v>3919615.6599999969</v>
      </c>
    </row>
    <row r="5" spans="1:2" x14ac:dyDescent="0.25">
      <c r="A5" s="10" t="s">
        <v>26</v>
      </c>
      <c r="B5" s="9">
        <v>1166388.3400000003</v>
      </c>
    </row>
    <row r="6" spans="1:2" x14ac:dyDescent="0.25">
      <c r="A6" s="10" t="s">
        <v>566</v>
      </c>
      <c r="B6" s="9">
        <v>975003.57000000007</v>
      </c>
    </row>
    <row r="7" spans="1:2" x14ac:dyDescent="0.25">
      <c r="A7" s="10" t="s">
        <v>598</v>
      </c>
      <c r="B7" s="9">
        <v>714437.13</v>
      </c>
    </row>
    <row r="8" spans="1:2" x14ac:dyDescent="0.25">
      <c r="A8" s="10" t="s">
        <v>605</v>
      </c>
      <c r="B8" s="9">
        <v>226243.46999999997</v>
      </c>
    </row>
    <row r="9" spans="1:2" x14ac:dyDescent="0.25">
      <c r="A9" s="10" t="s">
        <v>504</v>
      </c>
      <c r="B9" s="9">
        <v>1127789.8399999996</v>
      </c>
    </row>
    <row r="10" spans="1:2" x14ac:dyDescent="0.25">
      <c r="A10" s="10" t="s">
        <v>550</v>
      </c>
      <c r="B10" s="9">
        <v>1903150.8399999992</v>
      </c>
    </row>
    <row r="11" spans="1:2" x14ac:dyDescent="0.25">
      <c r="A11" s="10" t="s">
        <v>679</v>
      </c>
      <c r="B11" s="9">
        <v>10032628.849999996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FDEF-284C-4978-A39B-73F615128A95}">
  <dimension ref="A3:B23"/>
  <sheetViews>
    <sheetView topLeftCell="WT1"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3" spans="1:2" x14ac:dyDescent="0.25">
      <c r="A3" s="8" t="s">
        <v>678</v>
      </c>
      <c r="B3" t="s">
        <v>680</v>
      </c>
    </row>
    <row r="4" spans="1:2" x14ac:dyDescent="0.25">
      <c r="A4" s="10" t="s">
        <v>95</v>
      </c>
      <c r="B4" s="9">
        <v>630623.10000000009</v>
      </c>
    </row>
    <row r="5" spans="1:2" x14ac:dyDescent="0.25">
      <c r="A5" s="10" t="s">
        <v>148</v>
      </c>
      <c r="B5" s="9">
        <v>202062.53</v>
      </c>
    </row>
    <row r="6" spans="1:2" x14ac:dyDescent="0.25">
      <c r="A6" s="10" t="s">
        <v>370</v>
      </c>
      <c r="B6" s="9">
        <v>108412.62</v>
      </c>
    </row>
    <row r="7" spans="1:2" x14ac:dyDescent="0.25">
      <c r="A7" s="10" t="s">
        <v>231</v>
      </c>
      <c r="B7" s="9">
        <v>224078.55999999994</v>
      </c>
    </row>
    <row r="8" spans="1:2" x14ac:dyDescent="0.25">
      <c r="A8" s="10" t="s">
        <v>326</v>
      </c>
      <c r="B8" s="9">
        <v>245637.15</v>
      </c>
    </row>
    <row r="9" spans="1:2" x14ac:dyDescent="0.25">
      <c r="A9" s="10" t="s">
        <v>130</v>
      </c>
      <c r="B9" s="9">
        <v>329581.91000000009</v>
      </c>
    </row>
    <row r="10" spans="1:2" x14ac:dyDescent="0.25">
      <c r="A10" s="10" t="s">
        <v>41</v>
      </c>
      <c r="B10" s="9">
        <v>1110916.5199999993</v>
      </c>
    </row>
    <row r="11" spans="1:2" x14ac:dyDescent="0.25">
      <c r="A11" s="10" t="s">
        <v>443</v>
      </c>
      <c r="B11" s="9">
        <v>220472.08999999994</v>
      </c>
    </row>
    <row r="12" spans="1:2" x14ac:dyDescent="0.25">
      <c r="A12" s="10" t="s">
        <v>484</v>
      </c>
      <c r="B12" s="9">
        <v>57756.43</v>
      </c>
    </row>
    <row r="13" spans="1:2" x14ac:dyDescent="0.25">
      <c r="A13" s="10" t="s">
        <v>258</v>
      </c>
      <c r="B13" s="9">
        <v>374674.30999999976</v>
      </c>
    </row>
    <row r="14" spans="1:2" x14ac:dyDescent="0.25">
      <c r="A14" s="10" t="s">
        <v>200</v>
      </c>
      <c r="B14" s="9">
        <v>188167.80999999997</v>
      </c>
    </row>
    <row r="15" spans="1:2" x14ac:dyDescent="0.25">
      <c r="A15" s="10" t="s">
        <v>78</v>
      </c>
      <c r="B15" s="9">
        <v>307463.70000000013</v>
      </c>
    </row>
    <row r="16" spans="1:2" x14ac:dyDescent="0.25">
      <c r="A16" s="10" t="s">
        <v>430</v>
      </c>
      <c r="B16" s="9">
        <v>94015.73</v>
      </c>
    </row>
    <row r="17" spans="1:2" x14ac:dyDescent="0.25">
      <c r="A17" s="10" t="s">
        <v>199</v>
      </c>
      <c r="B17" s="9">
        <v>288488.41000000003</v>
      </c>
    </row>
    <row r="18" spans="1:2" x14ac:dyDescent="0.25">
      <c r="A18" s="10" t="s">
        <v>178</v>
      </c>
      <c r="B18" s="9">
        <v>1215686.9200000009</v>
      </c>
    </row>
    <row r="19" spans="1:2" x14ac:dyDescent="0.25">
      <c r="A19" s="10" t="s">
        <v>188</v>
      </c>
      <c r="B19" s="9">
        <v>210014.21</v>
      </c>
    </row>
    <row r="20" spans="1:2" x14ac:dyDescent="0.25">
      <c r="A20" s="10" t="s">
        <v>450</v>
      </c>
      <c r="B20" s="9">
        <v>117713.55999999998</v>
      </c>
    </row>
    <row r="21" spans="1:2" x14ac:dyDescent="0.25">
      <c r="A21" s="10" t="s">
        <v>170</v>
      </c>
      <c r="B21" s="9">
        <v>478880.46000000008</v>
      </c>
    </row>
    <row r="22" spans="1:2" x14ac:dyDescent="0.25">
      <c r="A22" s="10" t="s">
        <v>32</v>
      </c>
      <c r="B22" s="9">
        <v>3627982.83</v>
      </c>
    </row>
    <row r="23" spans="1:2" x14ac:dyDescent="0.25">
      <c r="A23" s="10" t="s">
        <v>679</v>
      </c>
      <c r="B23" s="9">
        <v>10032628.85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459-C763-4D5B-A574-543675CB2711}">
  <dimension ref="A1:AA2824"/>
  <sheetViews>
    <sheetView tabSelected="1" topLeftCell="S1" workbookViewId="0">
      <pane ySplit="1" topLeftCell="A2" activePane="bottomLeft" state="frozen"/>
      <selection pane="bottomLeft" activeCell="Z6" sqref="Z6"/>
    </sheetView>
  </sheetViews>
  <sheetFormatPr defaultColWidth="20.42578125" defaultRowHeight="15" x14ac:dyDescent="0.25"/>
  <cols>
    <col min="2" max="2" width="20.42578125" style="5"/>
    <col min="5" max="5" width="20.42578125" style="5"/>
    <col min="6" max="6" width="20.42578125" style="3"/>
    <col min="14" max="14" width="34.42578125" customWidth="1"/>
    <col min="15" max="15" width="33.5703125" style="7" customWidth="1"/>
    <col min="16" max="16" width="34.28515625" customWidth="1"/>
  </cols>
  <sheetData>
    <row r="1" spans="1:27" s="1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7" x14ac:dyDescent="0.25">
      <c r="A2">
        <v>10107</v>
      </c>
      <c r="B2" s="5">
        <v>30</v>
      </c>
      <c r="C2">
        <v>95.7</v>
      </c>
      <c r="D2">
        <v>2</v>
      </c>
      <c r="E2" s="5">
        <v>2871</v>
      </c>
      <c r="F2" s="3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s="7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s="1" t="s">
        <v>675</v>
      </c>
      <c r="AA2" s="5">
        <f>SUM(E2:E2824)</f>
        <v>10032628.850000011</v>
      </c>
    </row>
    <row r="3" spans="1:27" x14ac:dyDescent="0.25">
      <c r="A3">
        <v>10121</v>
      </c>
      <c r="B3" s="5">
        <v>34</v>
      </c>
      <c r="C3">
        <v>81.349999999999994</v>
      </c>
      <c r="D3">
        <v>5</v>
      </c>
      <c r="E3" s="5">
        <v>2765.9</v>
      </c>
      <c r="F3" s="3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s="7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  <c r="Z3" s="1" t="s">
        <v>676</v>
      </c>
      <c r="AA3" s="5">
        <f>AVERAGE(E2:E2824)</f>
        <v>3553.8890719093201</v>
      </c>
    </row>
    <row r="4" spans="1:27" x14ac:dyDescent="0.25">
      <c r="A4">
        <v>10134</v>
      </c>
      <c r="B4" s="5">
        <v>41</v>
      </c>
      <c r="C4">
        <v>94.74</v>
      </c>
      <c r="D4">
        <v>2</v>
      </c>
      <c r="E4" s="5">
        <v>3884.34</v>
      </c>
      <c r="F4" s="3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s="7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  <c r="Z4" s="1" t="s">
        <v>677</v>
      </c>
      <c r="AA4">
        <f>COUNT(A2:A2824)</f>
        <v>2823</v>
      </c>
    </row>
    <row r="5" spans="1:27" x14ac:dyDescent="0.25">
      <c r="A5">
        <v>10145</v>
      </c>
      <c r="B5" s="5">
        <v>45</v>
      </c>
      <c r="C5">
        <v>83.26</v>
      </c>
      <c r="D5">
        <v>6</v>
      </c>
      <c r="E5" s="5">
        <v>3746.7</v>
      </c>
      <c r="F5" s="3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 s="7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  <c r="Z5" s="1"/>
    </row>
    <row r="6" spans="1:27" x14ac:dyDescent="0.25">
      <c r="A6">
        <v>10159</v>
      </c>
      <c r="B6" s="5">
        <v>49</v>
      </c>
      <c r="C6">
        <v>100</v>
      </c>
      <c r="D6">
        <v>14</v>
      </c>
      <c r="E6" s="5">
        <v>5205.2700000000004</v>
      </c>
      <c r="F6" s="3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 s="7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7" x14ac:dyDescent="0.25">
      <c r="A7">
        <v>10168</v>
      </c>
      <c r="B7" s="5">
        <v>36</v>
      </c>
      <c r="C7">
        <v>96.66</v>
      </c>
      <c r="D7">
        <v>1</v>
      </c>
      <c r="E7" s="5">
        <v>3479.76</v>
      </c>
      <c r="F7" s="3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 s="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7" x14ac:dyDescent="0.25">
      <c r="A8">
        <v>10180</v>
      </c>
      <c r="B8" s="5">
        <v>29</v>
      </c>
      <c r="C8">
        <v>86.13</v>
      </c>
      <c r="D8">
        <v>9</v>
      </c>
      <c r="E8" s="5">
        <v>2497.77</v>
      </c>
      <c r="F8" s="3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s="7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7" x14ac:dyDescent="0.25">
      <c r="A9">
        <v>10188</v>
      </c>
      <c r="B9" s="5">
        <v>48</v>
      </c>
      <c r="C9">
        <v>100</v>
      </c>
      <c r="D9">
        <v>1</v>
      </c>
      <c r="E9" s="5">
        <v>5512.32</v>
      </c>
      <c r="F9" s="3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s="7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7" x14ac:dyDescent="0.25">
      <c r="A10">
        <v>10201</v>
      </c>
      <c r="B10" s="5">
        <v>22</v>
      </c>
      <c r="C10">
        <v>98.57</v>
      </c>
      <c r="D10">
        <v>2</v>
      </c>
      <c r="E10" s="5">
        <v>2168.54</v>
      </c>
      <c r="F10" s="3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 s="7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7" x14ac:dyDescent="0.25">
      <c r="A11">
        <v>10211</v>
      </c>
      <c r="B11" s="5">
        <v>41</v>
      </c>
      <c r="C11">
        <v>100</v>
      </c>
      <c r="D11">
        <v>14</v>
      </c>
      <c r="E11" s="5">
        <v>4708.4399999999996</v>
      </c>
      <c r="F11" s="3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s="7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7" x14ac:dyDescent="0.25">
      <c r="A12">
        <v>10223</v>
      </c>
      <c r="B12" s="5">
        <v>37</v>
      </c>
      <c r="C12">
        <v>100</v>
      </c>
      <c r="D12">
        <v>1</v>
      </c>
      <c r="E12" s="5">
        <v>3965.66</v>
      </c>
      <c r="F12" s="3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s="7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7" x14ac:dyDescent="0.25">
      <c r="A13">
        <v>10237</v>
      </c>
      <c r="B13" s="5">
        <v>23</v>
      </c>
      <c r="C13">
        <v>100</v>
      </c>
      <c r="D13">
        <v>7</v>
      </c>
      <c r="E13" s="5">
        <v>2333.12</v>
      </c>
      <c r="F13" s="3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 s="7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7" x14ac:dyDescent="0.25">
      <c r="A14">
        <v>10251</v>
      </c>
      <c r="B14" s="5">
        <v>28</v>
      </c>
      <c r="C14">
        <v>100</v>
      </c>
      <c r="D14">
        <v>2</v>
      </c>
      <c r="E14" s="5">
        <v>3188.64</v>
      </c>
      <c r="F14" s="3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 s="7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7" x14ac:dyDescent="0.25">
      <c r="A15">
        <v>10263</v>
      </c>
      <c r="B15" s="5">
        <v>34</v>
      </c>
      <c r="C15">
        <v>100</v>
      </c>
      <c r="D15">
        <v>2</v>
      </c>
      <c r="E15" s="5">
        <v>3676.76</v>
      </c>
      <c r="F15" s="3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 s="7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7" x14ac:dyDescent="0.25">
      <c r="A16">
        <v>10275</v>
      </c>
      <c r="B16" s="5">
        <v>45</v>
      </c>
      <c r="C16">
        <v>92.83</v>
      </c>
      <c r="D16">
        <v>1</v>
      </c>
      <c r="E16" s="5">
        <v>4177.3500000000004</v>
      </c>
      <c r="F16" s="3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s="7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 s="5">
        <v>36</v>
      </c>
      <c r="C17">
        <v>100</v>
      </c>
      <c r="D17">
        <v>6</v>
      </c>
      <c r="E17" s="5">
        <v>4099.68</v>
      </c>
      <c r="F17" s="3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 s="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 s="5">
        <v>23</v>
      </c>
      <c r="C18">
        <v>100</v>
      </c>
      <c r="D18">
        <v>9</v>
      </c>
      <c r="E18" s="5">
        <v>2597.39</v>
      </c>
      <c r="F18" s="3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s="7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 s="5">
        <v>41</v>
      </c>
      <c r="C19">
        <v>100</v>
      </c>
      <c r="D19">
        <v>5</v>
      </c>
      <c r="E19" s="5">
        <v>4394.38</v>
      </c>
      <c r="F19" s="3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s="7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 s="5">
        <v>46</v>
      </c>
      <c r="C20">
        <v>94.74</v>
      </c>
      <c r="D20">
        <v>1</v>
      </c>
      <c r="E20" s="5">
        <v>4358.04</v>
      </c>
      <c r="F20" s="3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 s="7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 s="5">
        <v>42</v>
      </c>
      <c r="C21">
        <v>100</v>
      </c>
      <c r="D21">
        <v>1</v>
      </c>
      <c r="E21" s="5">
        <v>4396.1400000000003</v>
      </c>
      <c r="F21" s="3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s="7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 s="5">
        <v>41</v>
      </c>
      <c r="C22">
        <v>100</v>
      </c>
      <c r="D22">
        <v>9</v>
      </c>
      <c r="E22" s="5">
        <v>7737.93</v>
      </c>
      <c r="F22" s="3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s="7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 s="5">
        <v>20</v>
      </c>
      <c r="C23">
        <v>72.55</v>
      </c>
      <c r="D23">
        <v>13</v>
      </c>
      <c r="E23" s="5">
        <v>1451</v>
      </c>
      <c r="F23" s="3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s="7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 s="5">
        <v>21</v>
      </c>
      <c r="C24">
        <v>34.909999999999997</v>
      </c>
      <c r="D24">
        <v>12</v>
      </c>
      <c r="E24" s="5">
        <v>733.11</v>
      </c>
      <c r="F24" s="3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s="7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 s="5">
        <v>42</v>
      </c>
      <c r="C25">
        <v>76.36</v>
      </c>
      <c r="D25">
        <v>4</v>
      </c>
      <c r="E25" s="5">
        <v>3207.12</v>
      </c>
      <c r="F25" s="3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 s="7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 s="5">
        <v>24</v>
      </c>
      <c r="C26">
        <v>100</v>
      </c>
      <c r="D26">
        <v>7</v>
      </c>
      <c r="E26" s="5">
        <v>2434.56</v>
      </c>
      <c r="F26" s="3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s="7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 s="5">
        <v>66</v>
      </c>
      <c r="C27">
        <v>100</v>
      </c>
      <c r="D27">
        <v>2</v>
      </c>
      <c r="E27" s="5">
        <v>7516.08</v>
      </c>
      <c r="F27" s="3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s="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 s="5">
        <v>26</v>
      </c>
      <c r="C28">
        <v>100</v>
      </c>
      <c r="D28">
        <v>11</v>
      </c>
      <c r="E28" s="5">
        <v>5404.62</v>
      </c>
      <c r="F28" s="3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s="7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 s="5">
        <v>29</v>
      </c>
      <c r="C29">
        <v>100</v>
      </c>
      <c r="D29">
        <v>1</v>
      </c>
      <c r="E29" s="5">
        <v>7209.11</v>
      </c>
      <c r="F29" s="3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s="7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 s="5">
        <v>38</v>
      </c>
      <c r="C30">
        <v>100</v>
      </c>
      <c r="D30">
        <v>11</v>
      </c>
      <c r="E30" s="5">
        <v>7329.06</v>
      </c>
      <c r="F30" s="3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s="7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 s="5">
        <v>37</v>
      </c>
      <c r="C31">
        <v>100</v>
      </c>
      <c r="D31">
        <v>11</v>
      </c>
      <c r="E31" s="5">
        <v>7374.1</v>
      </c>
      <c r="F31" s="3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 s="7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 s="5">
        <v>45</v>
      </c>
      <c r="C32">
        <v>100</v>
      </c>
      <c r="D32">
        <v>8</v>
      </c>
      <c r="E32" s="5">
        <v>10993.5</v>
      </c>
      <c r="F32" s="3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s="7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 s="5">
        <v>21</v>
      </c>
      <c r="C33">
        <v>100</v>
      </c>
      <c r="D33">
        <v>1</v>
      </c>
      <c r="E33" s="5">
        <v>4860.24</v>
      </c>
      <c r="F33" s="3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 s="7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 s="5">
        <v>34</v>
      </c>
      <c r="C34">
        <v>100</v>
      </c>
      <c r="D34">
        <v>4</v>
      </c>
      <c r="E34" s="5">
        <v>8014.82</v>
      </c>
      <c r="F34" s="3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s="7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 s="5">
        <v>23</v>
      </c>
      <c r="C35">
        <v>100</v>
      </c>
      <c r="D35">
        <v>8</v>
      </c>
      <c r="E35" s="5">
        <v>5372.57</v>
      </c>
      <c r="F35" s="3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 s="7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 s="5">
        <v>42</v>
      </c>
      <c r="C36">
        <v>100</v>
      </c>
      <c r="D36">
        <v>11</v>
      </c>
      <c r="E36" s="5">
        <v>7290.36</v>
      </c>
      <c r="F36" s="3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s="7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 s="5">
        <v>47</v>
      </c>
      <c r="C37">
        <v>100</v>
      </c>
      <c r="D37">
        <v>6</v>
      </c>
      <c r="E37" s="5">
        <v>9064.89</v>
      </c>
      <c r="F37" s="3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s="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 s="5">
        <v>35</v>
      </c>
      <c r="C38">
        <v>100</v>
      </c>
      <c r="D38">
        <v>3</v>
      </c>
      <c r="E38" s="5">
        <v>6075.3</v>
      </c>
      <c r="F38" s="3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 s="7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 s="5">
        <v>29</v>
      </c>
      <c r="C39">
        <v>100</v>
      </c>
      <c r="D39">
        <v>2</v>
      </c>
      <c r="E39" s="5">
        <v>6463.23</v>
      </c>
      <c r="F39" s="3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 s="7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 s="5">
        <v>34</v>
      </c>
      <c r="C40">
        <v>100</v>
      </c>
      <c r="D40">
        <v>9</v>
      </c>
      <c r="E40" s="5">
        <v>6120.34</v>
      </c>
      <c r="F40" s="3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 s="7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 s="5">
        <v>32</v>
      </c>
      <c r="C41">
        <v>100</v>
      </c>
      <c r="D41">
        <v>6</v>
      </c>
      <c r="E41" s="5">
        <v>7680.64</v>
      </c>
      <c r="F41" s="3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s="7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 s="5">
        <v>21</v>
      </c>
      <c r="C42">
        <v>100</v>
      </c>
      <c r="D42">
        <v>9</v>
      </c>
      <c r="E42" s="5">
        <v>4905.3900000000003</v>
      </c>
      <c r="F42" s="3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s="7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 s="5">
        <v>34</v>
      </c>
      <c r="C43">
        <v>100</v>
      </c>
      <c r="D43">
        <v>2</v>
      </c>
      <c r="E43" s="5">
        <v>8014.82</v>
      </c>
      <c r="F43" s="3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s="7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 s="5">
        <v>37</v>
      </c>
      <c r="C44">
        <v>100</v>
      </c>
      <c r="D44">
        <v>11</v>
      </c>
      <c r="E44" s="5">
        <v>7136.19</v>
      </c>
      <c r="F44" s="3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s="7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 s="5">
        <v>47</v>
      </c>
      <c r="C45">
        <v>100</v>
      </c>
      <c r="D45">
        <v>6</v>
      </c>
      <c r="E45" s="5">
        <v>10172.700000000001</v>
      </c>
      <c r="F45" s="3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s="7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 s="5">
        <v>48</v>
      </c>
      <c r="C46">
        <v>100</v>
      </c>
      <c r="D46">
        <v>3</v>
      </c>
      <c r="E46" s="5">
        <v>11623.7</v>
      </c>
      <c r="F46" s="3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 s="7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 s="5">
        <v>40</v>
      </c>
      <c r="C47">
        <v>100</v>
      </c>
      <c r="D47">
        <v>1</v>
      </c>
      <c r="E47" s="5">
        <v>6000.4</v>
      </c>
      <c r="F47" s="3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 s="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 s="5">
        <v>26</v>
      </c>
      <c r="C48">
        <v>100</v>
      </c>
      <c r="D48">
        <v>3</v>
      </c>
      <c r="E48" s="5">
        <v>3003</v>
      </c>
      <c r="F48" s="3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 s="7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 s="5">
        <v>30</v>
      </c>
      <c r="C49">
        <v>100</v>
      </c>
      <c r="D49">
        <v>1</v>
      </c>
      <c r="E49" s="5">
        <v>3944.7</v>
      </c>
      <c r="F49" s="3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s="7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 s="5">
        <v>32</v>
      </c>
      <c r="C50">
        <v>100</v>
      </c>
      <c r="D50">
        <v>10</v>
      </c>
      <c r="E50" s="5">
        <v>5691.84</v>
      </c>
      <c r="F50" s="3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 s="7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 s="5">
        <v>41</v>
      </c>
      <c r="C51">
        <v>100</v>
      </c>
      <c r="D51">
        <v>2</v>
      </c>
      <c r="E51" s="5">
        <v>4514.92</v>
      </c>
      <c r="F51" s="3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 s="7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 s="5">
        <v>36</v>
      </c>
      <c r="C52">
        <v>100</v>
      </c>
      <c r="D52">
        <v>3</v>
      </c>
      <c r="E52" s="5">
        <v>8254.7999999999993</v>
      </c>
      <c r="F52" s="3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 s="7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 s="5">
        <v>24</v>
      </c>
      <c r="C53">
        <v>100</v>
      </c>
      <c r="D53">
        <v>4</v>
      </c>
      <c r="E53" s="5">
        <v>2416.56</v>
      </c>
      <c r="F53" s="3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s="7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 s="5">
        <v>23</v>
      </c>
      <c r="C54">
        <v>100</v>
      </c>
      <c r="D54">
        <v>9</v>
      </c>
      <c r="E54" s="5">
        <v>4140.2299999999996</v>
      </c>
      <c r="F54" s="3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s="7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 s="5">
        <v>50</v>
      </c>
      <c r="C55">
        <v>100</v>
      </c>
      <c r="D55">
        <v>6</v>
      </c>
      <c r="E55" s="5">
        <v>12001</v>
      </c>
      <c r="F55" s="3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s="7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 s="5">
        <v>39</v>
      </c>
      <c r="C56">
        <v>99.91</v>
      </c>
      <c r="D56">
        <v>5</v>
      </c>
      <c r="E56" s="5">
        <v>3896.49</v>
      </c>
      <c r="F56" s="3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 s="7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 s="5">
        <v>29</v>
      </c>
      <c r="C57">
        <v>96.34</v>
      </c>
      <c r="D57">
        <v>3</v>
      </c>
      <c r="E57" s="5">
        <v>2793.86</v>
      </c>
      <c r="F57" s="3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s="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 s="5">
        <v>27</v>
      </c>
      <c r="C58">
        <v>100</v>
      </c>
      <c r="D58">
        <v>5</v>
      </c>
      <c r="E58" s="5">
        <v>3307.77</v>
      </c>
      <c r="F58" s="3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s="7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 s="5">
        <v>37</v>
      </c>
      <c r="C59">
        <v>100</v>
      </c>
      <c r="D59">
        <v>9</v>
      </c>
      <c r="E59" s="5">
        <v>5192.95</v>
      </c>
      <c r="F59" s="3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 s="7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 s="5">
        <v>37</v>
      </c>
      <c r="C60">
        <v>100</v>
      </c>
      <c r="D60">
        <v>17</v>
      </c>
      <c r="E60" s="5">
        <v>5016.83</v>
      </c>
      <c r="F60" s="3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 s="7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 s="5">
        <v>27</v>
      </c>
      <c r="C61">
        <v>100</v>
      </c>
      <c r="D61">
        <v>4</v>
      </c>
      <c r="E61" s="5">
        <v>3660.93</v>
      </c>
      <c r="F61" s="3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 s="7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 s="5">
        <v>42</v>
      </c>
      <c r="C62">
        <v>100</v>
      </c>
      <c r="D62">
        <v>12</v>
      </c>
      <c r="E62" s="5">
        <v>4695.6000000000004</v>
      </c>
      <c r="F62" s="3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s="7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 s="5">
        <v>38</v>
      </c>
      <c r="C63">
        <v>96.34</v>
      </c>
      <c r="D63">
        <v>4</v>
      </c>
      <c r="E63" s="5">
        <v>3660.92</v>
      </c>
      <c r="F63" s="3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s="7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 s="5">
        <v>24</v>
      </c>
      <c r="C64">
        <v>100</v>
      </c>
      <c r="D64">
        <v>5</v>
      </c>
      <c r="E64" s="5">
        <v>3025.92</v>
      </c>
      <c r="F64" s="3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 s="7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 s="5">
        <v>23</v>
      </c>
      <c r="C65">
        <v>100</v>
      </c>
      <c r="D65">
        <v>2</v>
      </c>
      <c r="E65" s="5">
        <v>3009.09</v>
      </c>
      <c r="F65" s="3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s="7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 s="5">
        <v>47</v>
      </c>
      <c r="C66">
        <v>100</v>
      </c>
      <c r="D66">
        <v>4</v>
      </c>
      <c r="E66" s="5">
        <v>5422.39</v>
      </c>
      <c r="F66" s="3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s="7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 s="5">
        <v>22</v>
      </c>
      <c r="C67">
        <v>100</v>
      </c>
      <c r="D67">
        <v>1</v>
      </c>
      <c r="E67" s="5">
        <v>2852.08</v>
      </c>
      <c r="F67" s="3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 s="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 s="5">
        <v>44</v>
      </c>
      <c r="C68">
        <v>100</v>
      </c>
      <c r="D68">
        <v>5</v>
      </c>
      <c r="E68" s="5">
        <v>5756.52</v>
      </c>
      <c r="F68" s="3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 s="7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 s="5">
        <v>40</v>
      </c>
      <c r="C69">
        <v>100</v>
      </c>
      <c r="D69">
        <v>5</v>
      </c>
      <c r="E69" s="5">
        <v>4472</v>
      </c>
      <c r="F69" s="3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 s="7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 s="5">
        <v>22</v>
      </c>
      <c r="C70">
        <v>100</v>
      </c>
      <c r="D70">
        <v>4</v>
      </c>
      <c r="E70" s="5">
        <v>2904.44</v>
      </c>
      <c r="F70" s="3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s="7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 s="5">
        <v>47</v>
      </c>
      <c r="C71">
        <v>100</v>
      </c>
      <c r="D71">
        <v>9</v>
      </c>
      <c r="E71" s="5">
        <v>6484.59</v>
      </c>
      <c r="F71" s="3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 s="7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 s="5">
        <v>39</v>
      </c>
      <c r="C72">
        <v>96.34</v>
      </c>
      <c r="D72">
        <v>1</v>
      </c>
      <c r="E72" s="5">
        <v>3757.26</v>
      </c>
      <c r="F72" s="3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s="7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 s="5">
        <v>34</v>
      </c>
      <c r="C73">
        <v>100</v>
      </c>
      <c r="D73">
        <v>2</v>
      </c>
      <c r="E73" s="5">
        <v>4043.96</v>
      </c>
      <c r="F73" s="3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 s="7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 s="5">
        <v>45</v>
      </c>
      <c r="C74">
        <v>100</v>
      </c>
      <c r="D74">
        <v>4</v>
      </c>
      <c r="E74" s="5">
        <v>5566.5</v>
      </c>
      <c r="F74" s="3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 s="7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 s="5">
        <v>20</v>
      </c>
      <c r="C75">
        <v>100</v>
      </c>
      <c r="D75">
        <v>2</v>
      </c>
      <c r="E75" s="5">
        <v>3176</v>
      </c>
      <c r="F75" s="3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 s="7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 s="5">
        <v>40</v>
      </c>
      <c r="C76">
        <v>68.92</v>
      </c>
      <c r="D76">
        <v>4</v>
      </c>
      <c r="E76" s="5">
        <v>2756.8</v>
      </c>
      <c r="F76" s="3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s="7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 s="5">
        <v>26</v>
      </c>
      <c r="C77">
        <v>51.15</v>
      </c>
      <c r="D77">
        <v>8</v>
      </c>
      <c r="E77" s="5">
        <v>1329.9</v>
      </c>
      <c r="F77" s="3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s="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 s="5">
        <v>39</v>
      </c>
      <c r="C78">
        <v>100</v>
      </c>
      <c r="D78">
        <v>5</v>
      </c>
      <c r="E78" s="5">
        <v>5288.01</v>
      </c>
      <c r="F78" s="3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s="7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 s="5">
        <v>50</v>
      </c>
      <c r="C79">
        <v>44.51</v>
      </c>
      <c r="D79">
        <v>5</v>
      </c>
      <c r="E79" s="5">
        <v>2225.5</v>
      </c>
      <c r="F79" s="3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 s="7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 s="5">
        <v>45</v>
      </c>
      <c r="C80">
        <v>100</v>
      </c>
      <c r="D80">
        <v>1</v>
      </c>
      <c r="E80" s="5">
        <v>5833.8</v>
      </c>
      <c r="F80" s="3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s="7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 s="5">
        <v>45</v>
      </c>
      <c r="C81">
        <v>100</v>
      </c>
      <c r="D81">
        <v>5</v>
      </c>
      <c r="E81" s="5">
        <v>5887.35</v>
      </c>
      <c r="F81" s="3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s="7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 s="5">
        <v>27</v>
      </c>
      <c r="C82">
        <v>100</v>
      </c>
      <c r="D82">
        <v>4</v>
      </c>
      <c r="E82" s="5">
        <v>6065.55</v>
      </c>
      <c r="F82" s="3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 s="7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 s="5">
        <v>46</v>
      </c>
      <c r="C83">
        <v>100</v>
      </c>
      <c r="D83">
        <v>2</v>
      </c>
      <c r="E83" s="5">
        <v>9264.86</v>
      </c>
      <c r="F83" s="3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s="7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 s="5">
        <v>31</v>
      </c>
      <c r="C84">
        <v>100</v>
      </c>
      <c r="D84">
        <v>4</v>
      </c>
      <c r="E84" s="5">
        <v>7023.98</v>
      </c>
      <c r="F84" s="3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s="7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 s="5">
        <v>33</v>
      </c>
      <c r="C85">
        <v>100</v>
      </c>
      <c r="D85">
        <v>8</v>
      </c>
      <c r="E85" s="5">
        <v>5176.38</v>
      </c>
      <c r="F85" s="3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 s="7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 s="5">
        <v>22</v>
      </c>
      <c r="C86">
        <v>100</v>
      </c>
      <c r="D86">
        <v>16</v>
      </c>
      <c r="E86" s="5">
        <v>4132.7</v>
      </c>
      <c r="F86" s="3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 s="7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 s="5">
        <v>20</v>
      </c>
      <c r="C87">
        <v>100</v>
      </c>
      <c r="D87">
        <v>3</v>
      </c>
      <c r="E87" s="5">
        <v>4183</v>
      </c>
      <c r="F87" s="3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 s="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 s="5">
        <v>41</v>
      </c>
      <c r="C88">
        <v>100</v>
      </c>
      <c r="D88">
        <v>11</v>
      </c>
      <c r="E88" s="5">
        <v>8892.9</v>
      </c>
      <c r="F88" s="3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s="7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 s="5">
        <v>45</v>
      </c>
      <c r="C89">
        <v>100</v>
      </c>
      <c r="D89">
        <v>3</v>
      </c>
      <c r="E89" s="5">
        <v>8714.7000000000007</v>
      </c>
      <c r="F89" s="3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s="7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 s="5">
        <v>49</v>
      </c>
      <c r="C90">
        <v>100</v>
      </c>
      <c r="D90">
        <v>4</v>
      </c>
      <c r="E90" s="5">
        <v>8065.89</v>
      </c>
      <c r="F90" s="3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 s="7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 s="5">
        <v>34</v>
      </c>
      <c r="C91">
        <v>100</v>
      </c>
      <c r="D91">
        <v>1</v>
      </c>
      <c r="E91" s="5">
        <v>6123.4</v>
      </c>
      <c r="F91" s="3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s="7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 s="5">
        <v>49</v>
      </c>
      <c r="C92">
        <v>100</v>
      </c>
      <c r="D92">
        <v>3</v>
      </c>
      <c r="E92" s="5">
        <v>9774.0300000000007</v>
      </c>
      <c r="F92" s="3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s="7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 s="5">
        <v>39</v>
      </c>
      <c r="C93">
        <v>100</v>
      </c>
      <c r="D93">
        <v>9</v>
      </c>
      <c r="E93" s="5">
        <v>7023.9</v>
      </c>
      <c r="F93" s="3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 s="7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 s="5">
        <v>43</v>
      </c>
      <c r="C94">
        <v>100</v>
      </c>
      <c r="D94">
        <v>4</v>
      </c>
      <c r="E94" s="5">
        <v>7078.23</v>
      </c>
      <c r="F94" s="3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 s="7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 s="5">
        <v>41</v>
      </c>
      <c r="C95">
        <v>100</v>
      </c>
      <c r="D95">
        <v>4</v>
      </c>
      <c r="E95" s="5">
        <v>8336.94</v>
      </c>
      <c r="F95" s="3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 s="7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 s="5">
        <v>36</v>
      </c>
      <c r="C96">
        <v>100</v>
      </c>
      <c r="D96">
        <v>3</v>
      </c>
      <c r="E96" s="5">
        <v>6901.92</v>
      </c>
      <c r="F96" s="3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s="7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 s="5">
        <v>27</v>
      </c>
      <c r="C97">
        <v>100</v>
      </c>
      <c r="D97">
        <v>8</v>
      </c>
      <c r="E97" s="5">
        <v>5438.07</v>
      </c>
      <c r="F97" s="3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 s="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 s="5">
        <v>29</v>
      </c>
      <c r="C98">
        <v>100</v>
      </c>
      <c r="D98">
        <v>11</v>
      </c>
      <c r="E98" s="5">
        <v>6683.34</v>
      </c>
      <c r="F98" s="3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s="7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 s="5">
        <v>20</v>
      </c>
      <c r="C99">
        <v>100</v>
      </c>
      <c r="D99">
        <v>1</v>
      </c>
      <c r="E99" s="5">
        <v>4570.3999999999996</v>
      </c>
      <c r="F99" s="3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 s="7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 s="5">
        <v>37</v>
      </c>
      <c r="C100">
        <v>100</v>
      </c>
      <c r="D100">
        <v>3</v>
      </c>
      <c r="E100" s="5">
        <v>7667.14</v>
      </c>
      <c r="F100" s="3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 s="7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 s="5">
        <v>26</v>
      </c>
      <c r="C101">
        <v>100</v>
      </c>
      <c r="D101">
        <v>3</v>
      </c>
      <c r="E101" s="5">
        <v>5868.2</v>
      </c>
      <c r="F101" s="3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 s="7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 s="5">
        <v>39</v>
      </c>
      <c r="C102">
        <v>76.67</v>
      </c>
      <c r="D102">
        <v>3</v>
      </c>
      <c r="E102" s="5">
        <v>2990.13</v>
      </c>
      <c r="F102" s="3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s="7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 s="5">
        <v>22</v>
      </c>
      <c r="C103">
        <v>100</v>
      </c>
      <c r="D103">
        <v>4</v>
      </c>
      <c r="E103" s="5">
        <v>3664.1</v>
      </c>
      <c r="F103" s="3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 s="7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 s="5">
        <v>22</v>
      </c>
      <c r="C104">
        <v>100</v>
      </c>
      <c r="D104">
        <v>1</v>
      </c>
      <c r="E104" s="5">
        <v>3834.38</v>
      </c>
      <c r="F104" s="3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s="7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 s="5">
        <v>21</v>
      </c>
      <c r="C105">
        <v>86.77</v>
      </c>
      <c r="D105">
        <v>7</v>
      </c>
      <c r="E105" s="5">
        <v>1822.17</v>
      </c>
      <c r="F105" s="3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 s="7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 s="5">
        <v>66</v>
      </c>
      <c r="C106">
        <v>100</v>
      </c>
      <c r="D106">
        <v>9</v>
      </c>
      <c r="E106" s="5">
        <v>11886.6</v>
      </c>
      <c r="F106" s="3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s="7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 s="5">
        <v>56</v>
      </c>
      <c r="C107">
        <v>100</v>
      </c>
      <c r="D107">
        <v>4</v>
      </c>
      <c r="E107" s="5">
        <v>9218.16</v>
      </c>
      <c r="F107" s="3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s="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 s="5">
        <v>50</v>
      </c>
      <c r="C108">
        <v>100</v>
      </c>
      <c r="D108">
        <v>2</v>
      </c>
      <c r="E108" s="5">
        <v>7208</v>
      </c>
      <c r="F108" s="3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s="7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 s="5">
        <v>46</v>
      </c>
      <c r="C109">
        <v>100</v>
      </c>
      <c r="D109">
        <v>11</v>
      </c>
      <c r="E109" s="5">
        <v>5004.8</v>
      </c>
      <c r="F109" s="3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s="7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 s="5">
        <v>33</v>
      </c>
      <c r="C110">
        <v>100</v>
      </c>
      <c r="D110">
        <v>2</v>
      </c>
      <c r="E110" s="5">
        <v>4398.24</v>
      </c>
      <c r="F110" s="3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s="7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 s="5">
        <v>49</v>
      </c>
      <c r="C111">
        <v>100</v>
      </c>
      <c r="D111">
        <v>15</v>
      </c>
      <c r="E111" s="5">
        <v>5597.76</v>
      </c>
      <c r="F111" s="3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 s="7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 s="5">
        <v>32</v>
      </c>
      <c r="C112">
        <v>100</v>
      </c>
      <c r="D112">
        <v>13</v>
      </c>
      <c r="E112" s="5">
        <v>4526.08</v>
      </c>
      <c r="F112" s="3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s="7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 s="5">
        <v>44</v>
      </c>
      <c r="C113">
        <v>100</v>
      </c>
      <c r="D113">
        <v>9</v>
      </c>
      <c r="E113" s="5">
        <v>5924.16</v>
      </c>
      <c r="F113" s="3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s="7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 s="5">
        <v>24</v>
      </c>
      <c r="C114">
        <v>100</v>
      </c>
      <c r="D114">
        <v>12</v>
      </c>
      <c r="E114" s="5">
        <v>3492.48</v>
      </c>
      <c r="F114" s="3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s="7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 s="5">
        <v>26</v>
      </c>
      <c r="C115">
        <v>100</v>
      </c>
      <c r="D115">
        <v>9</v>
      </c>
      <c r="E115" s="5">
        <v>3854.24</v>
      </c>
      <c r="F115" s="3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s="7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 s="5">
        <v>45</v>
      </c>
      <c r="C116">
        <v>100</v>
      </c>
      <c r="D116">
        <v>6</v>
      </c>
      <c r="E116" s="5">
        <v>5324.4</v>
      </c>
      <c r="F116" s="3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s="7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 s="5">
        <v>39</v>
      </c>
      <c r="C117">
        <v>100</v>
      </c>
      <c r="D117">
        <v>8</v>
      </c>
      <c r="E117" s="5">
        <v>5197.92</v>
      </c>
      <c r="F117" s="3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 s="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 s="5">
        <v>49</v>
      </c>
      <c r="C118">
        <v>100</v>
      </c>
      <c r="D118">
        <v>12</v>
      </c>
      <c r="E118" s="5">
        <v>5997.6</v>
      </c>
      <c r="F118" s="3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 s="7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 s="5">
        <v>20</v>
      </c>
      <c r="C119">
        <v>100</v>
      </c>
      <c r="D119">
        <v>3</v>
      </c>
      <c r="E119" s="5">
        <v>2910.4</v>
      </c>
      <c r="F119" s="3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 s="7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 s="5">
        <v>27</v>
      </c>
      <c r="C120">
        <v>100</v>
      </c>
      <c r="D120">
        <v>1</v>
      </c>
      <c r="E120" s="5">
        <v>3378.24</v>
      </c>
      <c r="F120" s="3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s="7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 s="5">
        <v>30</v>
      </c>
      <c r="C121">
        <v>100</v>
      </c>
      <c r="D121">
        <v>4</v>
      </c>
      <c r="E121" s="5">
        <v>3508.8</v>
      </c>
      <c r="F121" s="3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s="7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 s="5">
        <v>25</v>
      </c>
      <c r="C122">
        <v>100</v>
      </c>
      <c r="D122">
        <v>6</v>
      </c>
      <c r="E122" s="5">
        <v>2992</v>
      </c>
      <c r="F122" s="3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s="7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 s="5">
        <v>24</v>
      </c>
      <c r="C123">
        <v>100</v>
      </c>
      <c r="D123">
        <v>1</v>
      </c>
      <c r="E123" s="5">
        <v>3427.2</v>
      </c>
      <c r="F123" s="3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 s="7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 s="5">
        <v>22</v>
      </c>
      <c r="C124">
        <v>100</v>
      </c>
      <c r="D124">
        <v>9</v>
      </c>
      <c r="E124" s="5">
        <v>2692.8</v>
      </c>
      <c r="F124" s="3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 s="7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 s="5">
        <v>33</v>
      </c>
      <c r="C125">
        <v>100</v>
      </c>
      <c r="D125">
        <v>17</v>
      </c>
      <c r="E125" s="5">
        <v>4128.96</v>
      </c>
      <c r="F125" s="3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s="7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 s="5">
        <v>47</v>
      </c>
      <c r="C126">
        <v>64.930000000000007</v>
      </c>
      <c r="D126">
        <v>6</v>
      </c>
      <c r="E126" s="5">
        <v>3051.71</v>
      </c>
      <c r="F126" s="3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s="7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 s="5">
        <v>25</v>
      </c>
      <c r="C127">
        <v>48.05</v>
      </c>
      <c r="D127">
        <v>8</v>
      </c>
      <c r="E127" s="5">
        <v>1201.25</v>
      </c>
      <c r="F127" s="3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 s="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 s="5">
        <v>26</v>
      </c>
      <c r="C128">
        <v>75.47</v>
      </c>
      <c r="D128">
        <v>5</v>
      </c>
      <c r="E128" s="5">
        <v>1962.22</v>
      </c>
      <c r="F128" s="3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s="7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 s="5">
        <v>48</v>
      </c>
      <c r="C129">
        <v>54.68</v>
      </c>
      <c r="D129">
        <v>6</v>
      </c>
      <c r="E129" s="5">
        <v>2624.64</v>
      </c>
      <c r="F129" s="3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s="7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 s="5">
        <v>39</v>
      </c>
      <c r="C130">
        <v>100</v>
      </c>
      <c r="D130">
        <v>3</v>
      </c>
      <c r="E130" s="5">
        <v>4046.25</v>
      </c>
      <c r="F130" s="3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s="7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 s="5">
        <v>34</v>
      </c>
      <c r="C131">
        <v>100</v>
      </c>
      <c r="D131">
        <v>4</v>
      </c>
      <c r="E131" s="5">
        <v>4846.7</v>
      </c>
      <c r="F131" s="3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 s="7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 s="5">
        <v>32</v>
      </c>
      <c r="C132">
        <v>100</v>
      </c>
      <c r="D132">
        <v>2</v>
      </c>
      <c r="E132" s="5">
        <v>3370.56</v>
      </c>
      <c r="F132" s="3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s="7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 s="5">
        <v>64</v>
      </c>
      <c r="C133">
        <v>100</v>
      </c>
      <c r="D133">
        <v>9</v>
      </c>
      <c r="E133" s="5">
        <v>9661.44</v>
      </c>
      <c r="F133" s="3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 s="7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 s="5">
        <v>19</v>
      </c>
      <c r="C134">
        <v>100</v>
      </c>
      <c r="D134">
        <v>3</v>
      </c>
      <c r="E134" s="5">
        <v>2764.88</v>
      </c>
      <c r="F134" s="3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 s="7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 s="5">
        <v>42</v>
      </c>
      <c r="C135">
        <v>100</v>
      </c>
      <c r="D135">
        <v>4</v>
      </c>
      <c r="E135" s="5">
        <v>5398.26</v>
      </c>
      <c r="F135" s="3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s="7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 s="5">
        <v>31</v>
      </c>
      <c r="C136">
        <v>100</v>
      </c>
      <c r="D136">
        <v>8</v>
      </c>
      <c r="E136" s="5">
        <v>4305.28</v>
      </c>
      <c r="F136" s="3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s="7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 s="5">
        <v>22</v>
      </c>
      <c r="C137">
        <v>100</v>
      </c>
      <c r="D137">
        <v>4</v>
      </c>
      <c r="E137" s="5">
        <v>3347.74</v>
      </c>
      <c r="F137" s="3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s="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 s="5">
        <v>26</v>
      </c>
      <c r="C138">
        <v>100</v>
      </c>
      <c r="D138">
        <v>4</v>
      </c>
      <c r="E138" s="5">
        <v>3188.12</v>
      </c>
      <c r="F138" s="3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 s="7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 s="5">
        <v>20</v>
      </c>
      <c r="C139">
        <v>100</v>
      </c>
      <c r="D139">
        <v>1</v>
      </c>
      <c r="E139" s="5">
        <v>3191.2</v>
      </c>
      <c r="F139" s="3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s="7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 s="5">
        <v>21</v>
      </c>
      <c r="C140">
        <v>100</v>
      </c>
      <c r="D140">
        <v>2</v>
      </c>
      <c r="E140" s="5">
        <v>3536.82</v>
      </c>
      <c r="F140" s="3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s="7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 s="5">
        <v>33</v>
      </c>
      <c r="C141">
        <v>100</v>
      </c>
      <c r="D141">
        <v>9</v>
      </c>
      <c r="E141" s="5">
        <v>5362.83</v>
      </c>
      <c r="F141" s="3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s="7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 s="5">
        <v>28</v>
      </c>
      <c r="C142">
        <v>100</v>
      </c>
      <c r="D142">
        <v>1</v>
      </c>
      <c r="E142" s="5">
        <v>3433.36</v>
      </c>
      <c r="F142" s="3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 s="7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 s="5">
        <v>26</v>
      </c>
      <c r="C143">
        <v>100</v>
      </c>
      <c r="D143">
        <v>4</v>
      </c>
      <c r="E143" s="5">
        <v>4263.74</v>
      </c>
      <c r="F143" s="3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s="7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 s="5">
        <v>31</v>
      </c>
      <c r="C144">
        <v>100</v>
      </c>
      <c r="D144">
        <v>15</v>
      </c>
      <c r="E144" s="5">
        <v>4076.19</v>
      </c>
      <c r="F144" s="3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 s="7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 s="5">
        <v>48</v>
      </c>
      <c r="C145">
        <v>100</v>
      </c>
      <c r="D145">
        <v>4</v>
      </c>
      <c r="E145" s="5">
        <v>7020.48</v>
      </c>
      <c r="F145" s="3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s="7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 s="5">
        <v>50</v>
      </c>
      <c r="C146">
        <v>100</v>
      </c>
      <c r="D146">
        <v>9</v>
      </c>
      <c r="E146" s="5">
        <v>6426.5</v>
      </c>
      <c r="F146" s="3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 s="7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 s="5">
        <v>28</v>
      </c>
      <c r="C147">
        <v>100</v>
      </c>
      <c r="D147">
        <v>2</v>
      </c>
      <c r="E147" s="5">
        <v>4591.72</v>
      </c>
      <c r="F147" s="3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 s="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 s="5">
        <v>26</v>
      </c>
      <c r="C148">
        <v>100</v>
      </c>
      <c r="D148">
        <v>12</v>
      </c>
      <c r="E148" s="5">
        <v>4033.38</v>
      </c>
      <c r="F148" s="3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s="7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 s="5">
        <v>32</v>
      </c>
      <c r="C149">
        <v>100</v>
      </c>
      <c r="D149">
        <v>2</v>
      </c>
      <c r="E149" s="5">
        <v>4302.08</v>
      </c>
      <c r="F149" s="3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s="7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 s="5">
        <v>44</v>
      </c>
      <c r="C150">
        <v>100</v>
      </c>
      <c r="D150">
        <v>9</v>
      </c>
      <c r="E150" s="5">
        <v>7020.64</v>
      </c>
      <c r="F150" s="3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 s="7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 s="5">
        <v>30</v>
      </c>
      <c r="C151">
        <v>100</v>
      </c>
      <c r="D151">
        <v>4</v>
      </c>
      <c r="E151" s="5">
        <v>3855.9</v>
      </c>
      <c r="F151" s="3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s="7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 s="5">
        <v>38</v>
      </c>
      <c r="C152">
        <v>100</v>
      </c>
      <c r="D152">
        <v>13</v>
      </c>
      <c r="E152" s="5">
        <v>6680.78</v>
      </c>
      <c r="F152" s="3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 s="7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 s="5">
        <v>40</v>
      </c>
      <c r="C153">
        <v>100</v>
      </c>
      <c r="D153">
        <v>7</v>
      </c>
      <c r="E153" s="5">
        <v>6678</v>
      </c>
      <c r="F153" s="3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s="7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 s="5">
        <v>46</v>
      </c>
      <c r="C154">
        <v>61.99</v>
      </c>
      <c r="D154">
        <v>8</v>
      </c>
      <c r="E154" s="5">
        <v>2851.54</v>
      </c>
      <c r="F154" s="3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 s="7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 s="5">
        <v>26</v>
      </c>
      <c r="C155">
        <v>100</v>
      </c>
      <c r="D155">
        <v>2</v>
      </c>
      <c r="E155" s="5">
        <v>3188.12</v>
      </c>
      <c r="F155" s="3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s="7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 s="5">
        <v>27</v>
      </c>
      <c r="C156">
        <v>100</v>
      </c>
      <c r="D156">
        <v>2</v>
      </c>
      <c r="E156" s="5">
        <v>4428</v>
      </c>
      <c r="F156" s="3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s="7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 s="5">
        <v>43</v>
      </c>
      <c r="C157">
        <v>100</v>
      </c>
      <c r="D157">
        <v>9</v>
      </c>
      <c r="E157" s="5">
        <v>5780.92</v>
      </c>
      <c r="F157" s="3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 s="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 s="5">
        <v>35</v>
      </c>
      <c r="C158">
        <v>65.63</v>
      </c>
      <c r="D158">
        <v>4</v>
      </c>
      <c r="E158" s="5">
        <v>2297.0500000000002</v>
      </c>
      <c r="F158" s="3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s="7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 s="5">
        <v>37</v>
      </c>
      <c r="C159">
        <v>100</v>
      </c>
      <c r="D159">
        <v>6</v>
      </c>
      <c r="E159" s="5">
        <v>6231.54</v>
      </c>
      <c r="F159" s="3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 s="7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 s="5">
        <v>37</v>
      </c>
      <c r="C160">
        <v>46.9</v>
      </c>
      <c r="D160">
        <v>7</v>
      </c>
      <c r="E160" s="5">
        <v>1735.3</v>
      </c>
      <c r="F160" s="3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s="7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 s="5">
        <v>27</v>
      </c>
      <c r="C161">
        <v>100</v>
      </c>
      <c r="D161">
        <v>2</v>
      </c>
      <c r="E161" s="5">
        <v>4427.7299999999996</v>
      </c>
      <c r="F161" s="3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s="7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 s="5">
        <v>38</v>
      </c>
      <c r="C162">
        <v>100</v>
      </c>
      <c r="D162">
        <v>12</v>
      </c>
      <c r="E162" s="5">
        <v>5894.94</v>
      </c>
      <c r="F162" s="3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s="7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 s="5">
        <v>33</v>
      </c>
      <c r="C163">
        <v>100</v>
      </c>
      <c r="D163">
        <v>6</v>
      </c>
      <c r="E163" s="5">
        <v>5265.15</v>
      </c>
      <c r="F163" s="3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s="7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 s="5">
        <v>42</v>
      </c>
      <c r="C164">
        <v>100</v>
      </c>
      <c r="D164">
        <v>10</v>
      </c>
      <c r="E164" s="5">
        <v>7599.9</v>
      </c>
      <c r="F164" s="3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s="7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 s="5">
        <v>42</v>
      </c>
      <c r="C165">
        <v>100</v>
      </c>
      <c r="D165">
        <v>7</v>
      </c>
      <c r="E165" s="5">
        <v>8008.56</v>
      </c>
      <c r="F165" s="3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 s="7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 s="5">
        <v>48</v>
      </c>
      <c r="C166">
        <v>100</v>
      </c>
      <c r="D166">
        <v>7</v>
      </c>
      <c r="E166" s="5">
        <v>9245.76</v>
      </c>
      <c r="F166" s="3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 s="7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 s="5">
        <v>41</v>
      </c>
      <c r="C167">
        <v>100</v>
      </c>
      <c r="D167">
        <v>2</v>
      </c>
      <c r="E167" s="5">
        <v>8296.35</v>
      </c>
      <c r="F167" s="3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 s="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 s="5">
        <v>30</v>
      </c>
      <c r="C168">
        <v>100</v>
      </c>
      <c r="D168">
        <v>2</v>
      </c>
      <c r="E168" s="5">
        <v>5019.8999999999996</v>
      </c>
      <c r="F168" s="3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s="7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 s="5">
        <v>27</v>
      </c>
      <c r="C169">
        <v>100</v>
      </c>
      <c r="D169">
        <v>14</v>
      </c>
      <c r="E169" s="5">
        <v>5411.07</v>
      </c>
      <c r="F169" s="3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s="7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 s="5">
        <v>21</v>
      </c>
      <c r="C170">
        <v>100</v>
      </c>
      <c r="D170">
        <v>3</v>
      </c>
      <c r="E170" s="5">
        <v>3840.9</v>
      </c>
      <c r="F170" s="3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s="7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 s="5">
        <v>20</v>
      </c>
      <c r="C171">
        <v>100</v>
      </c>
      <c r="D171">
        <v>8</v>
      </c>
      <c r="E171" s="5">
        <v>3930.4</v>
      </c>
      <c r="F171" s="3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s="7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 s="5">
        <v>41</v>
      </c>
      <c r="C172">
        <v>100</v>
      </c>
      <c r="D172">
        <v>2</v>
      </c>
      <c r="E172" s="5">
        <v>7498.9</v>
      </c>
      <c r="F172" s="3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s="7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 s="5">
        <v>27</v>
      </c>
      <c r="C173">
        <v>100</v>
      </c>
      <c r="D173">
        <v>9</v>
      </c>
      <c r="E173" s="5">
        <v>4517.91</v>
      </c>
      <c r="F173" s="3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s="7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 s="5">
        <v>28</v>
      </c>
      <c r="C174">
        <v>100</v>
      </c>
      <c r="D174">
        <v>3</v>
      </c>
      <c r="E174" s="5">
        <v>5774.72</v>
      </c>
      <c r="F174" s="3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s="7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 s="5">
        <v>24</v>
      </c>
      <c r="C175">
        <v>100</v>
      </c>
      <c r="D175">
        <v>13</v>
      </c>
      <c r="E175" s="5">
        <v>3922.56</v>
      </c>
      <c r="F175" s="3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s="7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 s="5">
        <v>44</v>
      </c>
      <c r="C176">
        <v>100</v>
      </c>
      <c r="D176">
        <v>14</v>
      </c>
      <c r="E176" s="5">
        <v>9160.36</v>
      </c>
      <c r="F176" s="3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s="7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 s="5">
        <v>50</v>
      </c>
      <c r="C177">
        <v>100</v>
      </c>
      <c r="D177">
        <v>3</v>
      </c>
      <c r="E177" s="5">
        <v>9631</v>
      </c>
      <c r="F177" s="3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 s="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 s="5">
        <v>21</v>
      </c>
      <c r="C178">
        <v>100</v>
      </c>
      <c r="D178">
        <v>12</v>
      </c>
      <c r="E178" s="5">
        <v>3432.24</v>
      </c>
      <c r="F178" s="3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s="7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 s="5">
        <v>33</v>
      </c>
      <c r="C179">
        <v>100</v>
      </c>
      <c r="D179">
        <v>5</v>
      </c>
      <c r="E179" s="5">
        <v>5521.89</v>
      </c>
      <c r="F179" s="3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s="7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 s="5">
        <v>33</v>
      </c>
      <c r="C180">
        <v>100</v>
      </c>
      <c r="D180">
        <v>10</v>
      </c>
      <c r="E180" s="5">
        <v>6934.62</v>
      </c>
      <c r="F180" s="3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s="7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 s="5">
        <v>31</v>
      </c>
      <c r="C181">
        <v>100</v>
      </c>
      <c r="D181">
        <v>3</v>
      </c>
      <c r="E181" s="5">
        <v>6876.11</v>
      </c>
      <c r="F181" s="3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s="7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 s="5">
        <v>41</v>
      </c>
      <c r="C182">
        <v>71.47</v>
      </c>
      <c r="D182">
        <v>5</v>
      </c>
      <c r="E182" s="5">
        <v>2930.27</v>
      </c>
      <c r="F182" s="3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 s="7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 s="5">
        <v>45</v>
      </c>
      <c r="C183">
        <v>79.650000000000006</v>
      </c>
      <c r="D183">
        <v>2</v>
      </c>
      <c r="E183" s="5">
        <v>3584.25</v>
      </c>
      <c r="F183" s="3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s="7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 s="5">
        <v>33</v>
      </c>
      <c r="C184">
        <v>85.39</v>
      </c>
      <c r="D184">
        <v>3</v>
      </c>
      <c r="E184" s="5">
        <v>2817.87</v>
      </c>
      <c r="F184" s="3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s="7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 s="5">
        <v>45</v>
      </c>
      <c r="C185">
        <v>76</v>
      </c>
      <c r="D185">
        <v>7</v>
      </c>
      <c r="E185" s="5">
        <v>3420</v>
      </c>
      <c r="F185" s="3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s="7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 s="5">
        <v>26</v>
      </c>
      <c r="C186">
        <v>99.04</v>
      </c>
      <c r="D186">
        <v>4</v>
      </c>
      <c r="E186" s="5">
        <v>2575.04</v>
      </c>
      <c r="F186" s="3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s="7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 s="5">
        <v>12</v>
      </c>
      <c r="C187">
        <v>100</v>
      </c>
      <c r="D187">
        <v>13</v>
      </c>
      <c r="E187" s="5">
        <v>1961.28</v>
      </c>
      <c r="F187" s="3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s="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 s="5">
        <v>41</v>
      </c>
      <c r="C188">
        <v>100</v>
      </c>
      <c r="D188">
        <v>15</v>
      </c>
      <c r="E188" s="5">
        <v>8690.36</v>
      </c>
      <c r="F188" s="3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s="7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 s="5">
        <v>33</v>
      </c>
      <c r="C189">
        <v>100</v>
      </c>
      <c r="D189">
        <v>9</v>
      </c>
      <c r="E189" s="5">
        <v>6034.38</v>
      </c>
      <c r="F189" s="3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s="7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 s="5">
        <v>46</v>
      </c>
      <c r="C190">
        <v>100</v>
      </c>
      <c r="D190">
        <v>2</v>
      </c>
      <c r="E190" s="5">
        <v>11279.2</v>
      </c>
      <c r="F190" s="3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 s="7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 s="5">
        <v>33</v>
      </c>
      <c r="C191">
        <v>100</v>
      </c>
      <c r="D191">
        <v>12</v>
      </c>
      <c r="E191" s="5">
        <v>8023.29</v>
      </c>
      <c r="F191" s="3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 s="7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 s="5">
        <v>20</v>
      </c>
      <c r="C192">
        <v>100</v>
      </c>
      <c r="D192">
        <v>11</v>
      </c>
      <c r="E192" s="5">
        <v>4904</v>
      </c>
      <c r="F192" s="3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s="7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 s="5">
        <v>44</v>
      </c>
      <c r="C193">
        <v>100</v>
      </c>
      <c r="D193">
        <v>3</v>
      </c>
      <c r="E193" s="5">
        <v>8594.52</v>
      </c>
      <c r="F193" s="3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s="7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 s="5">
        <v>33</v>
      </c>
      <c r="C194">
        <v>100</v>
      </c>
      <c r="D194">
        <v>2</v>
      </c>
      <c r="E194" s="5">
        <v>7474.5</v>
      </c>
      <c r="F194" s="3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s="7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 s="5">
        <v>21</v>
      </c>
      <c r="C195">
        <v>100</v>
      </c>
      <c r="D195">
        <v>13</v>
      </c>
      <c r="E195" s="5">
        <v>3883.74</v>
      </c>
      <c r="F195" s="3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 s="7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 s="5">
        <v>47</v>
      </c>
      <c r="C196">
        <v>100</v>
      </c>
      <c r="D196">
        <v>5</v>
      </c>
      <c r="E196" s="5">
        <v>8887.7000000000007</v>
      </c>
      <c r="F196" s="3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 s="7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 s="5">
        <v>46</v>
      </c>
      <c r="C197">
        <v>100</v>
      </c>
      <c r="D197">
        <v>13</v>
      </c>
      <c r="E197" s="5">
        <v>8602.92</v>
      </c>
      <c r="F197" s="3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s="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 s="5">
        <v>32</v>
      </c>
      <c r="C198">
        <v>100</v>
      </c>
      <c r="D198">
        <v>2</v>
      </c>
      <c r="E198" s="5">
        <v>7181.44</v>
      </c>
      <c r="F198" s="3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s="7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 s="5">
        <v>42</v>
      </c>
      <c r="C199">
        <v>100</v>
      </c>
      <c r="D199">
        <v>2</v>
      </c>
      <c r="E199" s="5">
        <v>8378.58</v>
      </c>
      <c r="F199" s="3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s="7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 s="5">
        <v>44</v>
      </c>
      <c r="C200">
        <v>100</v>
      </c>
      <c r="D200">
        <v>2</v>
      </c>
      <c r="E200" s="5">
        <v>10606.2</v>
      </c>
      <c r="F200" s="3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s="7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 s="5">
        <v>35</v>
      </c>
      <c r="C201">
        <v>100</v>
      </c>
      <c r="D201">
        <v>2</v>
      </c>
      <c r="E201" s="5">
        <v>5818.4</v>
      </c>
      <c r="F201" s="3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 s="7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 s="5">
        <v>41</v>
      </c>
      <c r="C202">
        <v>100</v>
      </c>
      <c r="D202">
        <v>5</v>
      </c>
      <c r="E202" s="5">
        <v>7071.27</v>
      </c>
      <c r="F202" s="3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 s="7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 s="5">
        <v>46</v>
      </c>
      <c r="C203">
        <v>100</v>
      </c>
      <c r="D203">
        <v>8</v>
      </c>
      <c r="E203" s="5">
        <v>8411.56</v>
      </c>
      <c r="F203" s="3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s="7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 s="5">
        <v>31</v>
      </c>
      <c r="C204">
        <v>100</v>
      </c>
      <c r="D204">
        <v>13</v>
      </c>
      <c r="E204" s="5">
        <v>6570.76</v>
      </c>
      <c r="F204" s="3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s="7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 s="5">
        <v>38</v>
      </c>
      <c r="C205">
        <v>100</v>
      </c>
      <c r="D205">
        <v>5</v>
      </c>
      <c r="E205" s="5">
        <v>7975.44</v>
      </c>
      <c r="F205" s="3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s="7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 s="5">
        <v>42</v>
      </c>
      <c r="C206">
        <v>64</v>
      </c>
      <c r="D206">
        <v>8</v>
      </c>
      <c r="E206" s="5">
        <v>2688</v>
      </c>
      <c r="F206" s="3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s="7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 s="5">
        <v>33</v>
      </c>
      <c r="C207">
        <v>57.22</v>
      </c>
      <c r="D207">
        <v>10</v>
      </c>
      <c r="E207" s="5">
        <v>1888.26</v>
      </c>
      <c r="F207" s="3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s="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 s="5">
        <v>48</v>
      </c>
      <c r="C208">
        <v>52.36</v>
      </c>
      <c r="D208">
        <v>8</v>
      </c>
      <c r="E208" s="5">
        <v>2513.2800000000002</v>
      </c>
      <c r="F208" s="3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s="7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 s="5">
        <v>42</v>
      </c>
      <c r="C209">
        <v>100</v>
      </c>
      <c r="D209">
        <v>8</v>
      </c>
      <c r="E209" s="5">
        <v>4764.4799999999996</v>
      </c>
      <c r="F209" s="3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s="7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 s="5">
        <v>32</v>
      </c>
      <c r="C210">
        <v>100</v>
      </c>
      <c r="D210">
        <v>6</v>
      </c>
      <c r="E210" s="5">
        <v>3560.64</v>
      </c>
      <c r="F210" s="3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 s="7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 s="5">
        <v>34</v>
      </c>
      <c r="C211">
        <v>100</v>
      </c>
      <c r="D211">
        <v>10</v>
      </c>
      <c r="E211" s="5">
        <v>3823.64</v>
      </c>
      <c r="F211" s="3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 s="7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 s="5">
        <v>33</v>
      </c>
      <c r="C212">
        <v>69.12</v>
      </c>
      <c r="D212">
        <v>1</v>
      </c>
      <c r="E212" s="5">
        <v>2280.96</v>
      </c>
      <c r="F212" s="3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s="7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 s="5">
        <v>36</v>
      </c>
      <c r="C213">
        <v>100</v>
      </c>
      <c r="D213">
        <v>2</v>
      </c>
      <c r="E213" s="5">
        <v>8677.7999999999993</v>
      </c>
      <c r="F213" s="3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 s="7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 s="5">
        <v>27</v>
      </c>
      <c r="C214">
        <v>100</v>
      </c>
      <c r="D214">
        <v>8</v>
      </c>
      <c r="E214" s="5">
        <v>3394.98</v>
      </c>
      <c r="F214" s="3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s="7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 s="5">
        <v>21</v>
      </c>
      <c r="C215">
        <v>100</v>
      </c>
      <c r="D215">
        <v>2</v>
      </c>
      <c r="E215" s="5">
        <v>3415.44</v>
      </c>
      <c r="F215" s="3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 s="7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 s="5">
        <v>21</v>
      </c>
      <c r="C216">
        <v>100</v>
      </c>
      <c r="D216">
        <v>8</v>
      </c>
      <c r="E216" s="5">
        <v>2439.5700000000002</v>
      </c>
      <c r="F216" s="3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s="7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 s="5">
        <v>38</v>
      </c>
      <c r="C217">
        <v>100</v>
      </c>
      <c r="D217">
        <v>8</v>
      </c>
      <c r="E217" s="5">
        <v>4829.8</v>
      </c>
      <c r="F217" s="3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 s="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 s="5">
        <v>30</v>
      </c>
      <c r="C218">
        <v>100</v>
      </c>
      <c r="D218">
        <v>5</v>
      </c>
      <c r="E218" s="5">
        <v>4100.1000000000004</v>
      </c>
      <c r="F218" s="3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s="7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 s="5">
        <v>49</v>
      </c>
      <c r="C219">
        <v>100</v>
      </c>
      <c r="D219">
        <v>6</v>
      </c>
      <c r="E219" s="5">
        <v>6563.06</v>
      </c>
      <c r="F219" s="3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s="7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 s="5">
        <v>43</v>
      </c>
      <c r="C220">
        <v>100</v>
      </c>
      <c r="D220">
        <v>1</v>
      </c>
      <c r="E220" s="5">
        <v>6817.22</v>
      </c>
      <c r="F220" s="3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s="7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 s="5">
        <v>41</v>
      </c>
      <c r="C221">
        <v>100</v>
      </c>
      <c r="D221">
        <v>5</v>
      </c>
      <c r="E221" s="5">
        <v>6163.94</v>
      </c>
      <c r="F221" s="3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 s="7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 s="5">
        <v>38</v>
      </c>
      <c r="C222">
        <v>100</v>
      </c>
      <c r="D222">
        <v>8</v>
      </c>
      <c r="E222" s="5">
        <v>4933.92</v>
      </c>
      <c r="F222" s="3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s="7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 s="5">
        <v>28</v>
      </c>
      <c r="C223">
        <v>100</v>
      </c>
      <c r="D223">
        <v>3</v>
      </c>
      <c r="E223" s="5">
        <v>4056.36</v>
      </c>
      <c r="F223" s="3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s="7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 s="5">
        <v>43</v>
      </c>
      <c r="C224">
        <v>100</v>
      </c>
      <c r="D224">
        <v>1</v>
      </c>
      <c r="E224" s="5">
        <v>5759.42</v>
      </c>
      <c r="F224" s="3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s="7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 s="5">
        <v>25</v>
      </c>
      <c r="C225">
        <v>100</v>
      </c>
      <c r="D225">
        <v>13</v>
      </c>
      <c r="E225" s="5">
        <v>3451</v>
      </c>
      <c r="F225" s="3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 s="7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 s="5">
        <v>38</v>
      </c>
      <c r="C226">
        <v>100</v>
      </c>
      <c r="D226">
        <v>6</v>
      </c>
      <c r="E226" s="5">
        <v>5920.4</v>
      </c>
      <c r="F226" s="3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 s="7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 s="5">
        <v>41</v>
      </c>
      <c r="C227">
        <v>100</v>
      </c>
      <c r="D227">
        <v>3</v>
      </c>
      <c r="E227" s="5">
        <v>6668.24</v>
      </c>
      <c r="F227" s="3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s="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 s="5">
        <v>28</v>
      </c>
      <c r="C228">
        <v>100</v>
      </c>
      <c r="D228">
        <v>6</v>
      </c>
      <c r="E228" s="5">
        <v>4094.72</v>
      </c>
      <c r="F228" s="3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s="7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 s="5">
        <v>25</v>
      </c>
      <c r="C229">
        <v>100</v>
      </c>
      <c r="D229">
        <v>13</v>
      </c>
      <c r="E229" s="5">
        <v>2938.5</v>
      </c>
      <c r="F229" s="3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 s="7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 s="5">
        <v>41</v>
      </c>
      <c r="C230">
        <v>100</v>
      </c>
      <c r="D230">
        <v>8</v>
      </c>
      <c r="E230" s="5">
        <v>6387.8</v>
      </c>
      <c r="F230" s="3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s="7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 s="5">
        <v>39</v>
      </c>
      <c r="C231">
        <v>100</v>
      </c>
      <c r="D231">
        <v>3</v>
      </c>
      <c r="E231" s="5">
        <v>6396</v>
      </c>
      <c r="F231" s="3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s="7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 s="5">
        <v>21</v>
      </c>
      <c r="C232">
        <v>100</v>
      </c>
      <c r="D232">
        <v>11</v>
      </c>
      <c r="E232" s="5">
        <v>2669.1</v>
      </c>
      <c r="F232" s="3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s="7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 s="5">
        <v>27</v>
      </c>
      <c r="C233">
        <v>100</v>
      </c>
      <c r="D233">
        <v>9</v>
      </c>
      <c r="E233" s="5">
        <v>4784.13</v>
      </c>
      <c r="F233" s="3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 s="7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 s="5">
        <v>33</v>
      </c>
      <c r="C234">
        <v>99.21</v>
      </c>
      <c r="D234">
        <v>6</v>
      </c>
      <c r="E234" s="5">
        <v>3273.93</v>
      </c>
      <c r="F234" s="3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 s="7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 s="5">
        <v>29</v>
      </c>
      <c r="C235">
        <v>100</v>
      </c>
      <c r="D235">
        <v>3</v>
      </c>
      <c r="E235" s="5">
        <v>3586.43</v>
      </c>
      <c r="F235" s="3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s="7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 s="5">
        <v>49</v>
      </c>
      <c r="C236">
        <v>100</v>
      </c>
      <c r="D236">
        <v>8</v>
      </c>
      <c r="E236" s="5">
        <v>5960.36</v>
      </c>
      <c r="F236" s="3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 s="7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 s="5">
        <v>49</v>
      </c>
      <c r="C237">
        <v>100</v>
      </c>
      <c r="D237">
        <v>8</v>
      </c>
      <c r="E237" s="5">
        <v>8470.14</v>
      </c>
      <c r="F237" s="3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s="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 s="5">
        <v>20</v>
      </c>
      <c r="C238">
        <v>100</v>
      </c>
      <c r="D238">
        <v>1</v>
      </c>
      <c r="E238" s="5">
        <v>2952</v>
      </c>
      <c r="F238" s="3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 s="7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 s="5">
        <v>39</v>
      </c>
      <c r="C239">
        <v>63.2</v>
      </c>
      <c r="D239">
        <v>9</v>
      </c>
      <c r="E239" s="5">
        <v>2464.8000000000002</v>
      </c>
      <c r="F239" s="3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s="7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 s="5">
        <v>40</v>
      </c>
      <c r="C240">
        <v>100</v>
      </c>
      <c r="D240">
        <v>6</v>
      </c>
      <c r="E240" s="5">
        <v>6232</v>
      </c>
      <c r="F240" s="3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s="7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 s="5">
        <v>49</v>
      </c>
      <c r="C241">
        <v>100</v>
      </c>
      <c r="D241">
        <v>3</v>
      </c>
      <c r="E241" s="5">
        <v>7969.36</v>
      </c>
      <c r="F241" s="3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s="7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 s="5">
        <v>21</v>
      </c>
      <c r="C242">
        <v>100</v>
      </c>
      <c r="D242">
        <v>1</v>
      </c>
      <c r="E242" s="5">
        <v>3036.6</v>
      </c>
      <c r="F242" s="3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 s="7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 s="5">
        <v>50</v>
      </c>
      <c r="C243">
        <v>100</v>
      </c>
      <c r="D243">
        <v>4</v>
      </c>
      <c r="E243" s="5">
        <v>8284</v>
      </c>
      <c r="F243" s="3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s="7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 s="5">
        <v>20</v>
      </c>
      <c r="C244">
        <v>100</v>
      </c>
      <c r="D244">
        <v>1</v>
      </c>
      <c r="E244" s="5">
        <v>2711.2</v>
      </c>
      <c r="F244" s="3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s="7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 s="5">
        <v>49</v>
      </c>
      <c r="C245">
        <v>100</v>
      </c>
      <c r="D245">
        <v>5</v>
      </c>
      <c r="E245" s="5">
        <v>8339.7999999999993</v>
      </c>
      <c r="F245" s="3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 s="7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 s="5">
        <v>38</v>
      </c>
      <c r="C246">
        <v>100</v>
      </c>
      <c r="D246">
        <v>13</v>
      </c>
      <c r="E246" s="5">
        <v>6238.84</v>
      </c>
      <c r="F246" s="3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 s="7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 s="5">
        <v>35</v>
      </c>
      <c r="C247">
        <v>100</v>
      </c>
      <c r="D247">
        <v>13</v>
      </c>
      <c r="E247" s="5">
        <v>4639.25</v>
      </c>
      <c r="F247" s="3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s="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 s="5">
        <v>40</v>
      </c>
      <c r="C248">
        <v>100</v>
      </c>
      <c r="D248">
        <v>8</v>
      </c>
      <c r="E248" s="5">
        <v>6747.6</v>
      </c>
      <c r="F248" s="3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s="7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 s="5">
        <v>28</v>
      </c>
      <c r="C249">
        <v>100</v>
      </c>
      <c r="D249">
        <v>1</v>
      </c>
      <c r="E249" s="5">
        <v>4512.4799999999996</v>
      </c>
      <c r="F249" s="3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 s="7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 s="5">
        <v>25</v>
      </c>
      <c r="C250">
        <v>100</v>
      </c>
      <c r="D250">
        <v>1</v>
      </c>
      <c r="E250" s="5">
        <v>4029</v>
      </c>
      <c r="F250" s="3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 s="7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 s="5">
        <v>36</v>
      </c>
      <c r="C251">
        <v>100</v>
      </c>
      <c r="D251">
        <v>13</v>
      </c>
      <c r="E251" s="5">
        <v>4771.8</v>
      </c>
      <c r="F251" s="3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s="7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 s="5">
        <v>43</v>
      </c>
      <c r="C252">
        <v>100</v>
      </c>
      <c r="D252">
        <v>6</v>
      </c>
      <c r="E252" s="5">
        <v>6087.94</v>
      </c>
      <c r="F252" s="3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s="7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 s="5">
        <v>32</v>
      </c>
      <c r="C253">
        <v>100</v>
      </c>
      <c r="D253">
        <v>6</v>
      </c>
      <c r="E253" s="5">
        <v>4193.28</v>
      </c>
      <c r="F253" s="3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 s="7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 s="5">
        <v>46</v>
      </c>
      <c r="C254">
        <v>100</v>
      </c>
      <c r="D254">
        <v>1</v>
      </c>
      <c r="E254" s="5">
        <v>7552.28</v>
      </c>
      <c r="F254" s="3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 s="7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 s="5">
        <v>48</v>
      </c>
      <c r="C255">
        <v>100</v>
      </c>
      <c r="D255">
        <v>1</v>
      </c>
      <c r="E255" s="5">
        <v>6434.4</v>
      </c>
      <c r="F255" s="3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 s="7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 s="5">
        <v>43</v>
      </c>
      <c r="C256">
        <v>100</v>
      </c>
      <c r="D256">
        <v>14</v>
      </c>
      <c r="E256" s="5">
        <v>5181.5</v>
      </c>
      <c r="F256" s="3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 s="7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 s="5">
        <v>49</v>
      </c>
      <c r="C257">
        <v>100</v>
      </c>
      <c r="D257">
        <v>5</v>
      </c>
      <c r="E257" s="5">
        <v>6863.92</v>
      </c>
      <c r="F257" s="3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 s="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 s="5">
        <v>24</v>
      </c>
      <c r="C258">
        <v>100</v>
      </c>
      <c r="D258">
        <v>8</v>
      </c>
      <c r="E258" s="5">
        <v>4157.04</v>
      </c>
      <c r="F258" s="3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s="7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 s="5">
        <v>26</v>
      </c>
      <c r="C259">
        <v>100</v>
      </c>
      <c r="D259">
        <v>4</v>
      </c>
      <c r="E259" s="5">
        <v>4660.24</v>
      </c>
      <c r="F259" s="3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s="7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 s="5">
        <v>30</v>
      </c>
      <c r="C260">
        <v>100</v>
      </c>
      <c r="D260">
        <v>9</v>
      </c>
      <c r="E260" s="5">
        <v>4111.8</v>
      </c>
      <c r="F260" s="3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 s="7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 s="5">
        <v>24</v>
      </c>
      <c r="C261">
        <v>100</v>
      </c>
      <c r="D261">
        <v>6</v>
      </c>
      <c r="E261" s="5">
        <v>3542.64</v>
      </c>
      <c r="F261" s="3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 s="7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 s="5">
        <v>55</v>
      </c>
      <c r="C262">
        <v>100</v>
      </c>
      <c r="D262">
        <v>8</v>
      </c>
      <c r="E262" s="5">
        <v>8118.55</v>
      </c>
      <c r="F262" s="3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s="7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 s="5">
        <v>22</v>
      </c>
      <c r="C263">
        <v>100</v>
      </c>
      <c r="D263">
        <v>1</v>
      </c>
      <c r="E263" s="5">
        <v>3877.06</v>
      </c>
      <c r="F263" s="3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 s="7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 s="5">
        <v>49</v>
      </c>
      <c r="C264">
        <v>78.92</v>
      </c>
      <c r="D264">
        <v>13</v>
      </c>
      <c r="E264" s="5">
        <v>3867.08</v>
      </c>
      <c r="F264" s="3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s="7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 s="5">
        <v>44</v>
      </c>
      <c r="C265">
        <v>100</v>
      </c>
      <c r="D265">
        <v>6</v>
      </c>
      <c r="E265" s="5">
        <v>5951.44</v>
      </c>
      <c r="F265" s="3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 s="7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 s="5">
        <v>66</v>
      </c>
      <c r="C266">
        <v>100</v>
      </c>
      <c r="D266">
        <v>6</v>
      </c>
      <c r="E266" s="5">
        <v>8648.64</v>
      </c>
      <c r="F266" s="3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s="7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 s="5">
        <v>21</v>
      </c>
      <c r="C267">
        <v>100</v>
      </c>
      <c r="D267">
        <v>1</v>
      </c>
      <c r="E267" s="5">
        <v>3447.78</v>
      </c>
      <c r="F267" s="3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s="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 s="5">
        <v>34</v>
      </c>
      <c r="C268">
        <v>100</v>
      </c>
      <c r="D268">
        <v>1</v>
      </c>
      <c r="E268" s="5">
        <v>5958.5</v>
      </c>
      <c r="F268" s="3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s="7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 s="5">
        <v>43</v>
      </c>
      <c r="C269">
        <v>100</v>
      </c>
      <c r="D269">
        <v>10</v>
      </c>
      <c r="E269" s="5">
        <v>5911.64</v>
      </c>
      <c r="F269" s="3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s="7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 s="5">
        <v>46</v>
      </c>
      <c r="C270">
        <v>100</v>
      </c>
      <c r="D270">
        <v>3</v>
      </c>
      <c r="E270" s="5">
        <v>7366.44</v>
      </c>
      <c r="F270" s="3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 s="7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 s="5">
        <v>33</v>
      </c>
      <c r="C271">
        <v>100</v>
      </c>
      <c r="D271">
        <v>13</v>
      </c>
      <c r="E271" s="5">
        <v>4985.6400000000003</v>
      </c>
      <c r="F271" s="3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 s="7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 s="5">
        <v>42</v>
      </c>
      <c r="C272">
        <v>100</v>
      </c>
      <c r="D272">
        <v>12</v>
      </c>
      <c r="E272" s="5">
        <v>5393.64</v>
      </c>
      <c r="F272" s="3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s="7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 s="5">
        <v>34</v>
      </c>
      <c r="C273">
        <v>100</v>
      </c>
      <c r="D273">
        <v>4</v>
      </c>
      <c r="E273" s="5">
        <v>4880.0200000000004</v>
      </c>
      <c r="F273" s="3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s="7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 s="5">
        <v>47</v>
      </c>
      <c r="C274">
        <v>100</v>
      </c>
      <c r="D274">
        <v>3</v>
      </c>
      <c r="E274" s="5">
        <v>8378.69</v>
      </c>
      <c r="F274" s="3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s="7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 s="5">
        <v>33</v>
      </c>
      <c r="C275">
        <v>100</v>
      </c>
      <c r="D275">
        <v>14</v>
      </c>
      <c r="E275" s="5">
        <v>4038.21</v>
      </c>
      <c r="F275" s="3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 s="7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 s="5">
        <v>24</v>
      </c>
      <c r="C276">
        <v>100</v>
      </c>
      <c r="D276">
        <v>6</v>
      </c>
      <c r="E276" s="5">
        <v>3807.12</v>
      </c>
      <c r="F276" s="3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 s="7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 s="5">
        <v>26</v>
      </c>
      <c r="C277">
        <v>100</v>
      </c>
      <c r="D277">
        <v>14</v>
      </c>
      <c r="E277" s="5">
        <v>3142.36</v>
      </c>
      <c r="F277" s="3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s="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 s="5">
        <v>30</v>
      </c>
      <c r="C278">
        <v>100</v>
      </c>
      <c r="D278">
        <v>3</v>
      </c>
      <c r="E278" s="5">
        <v>4713.6000000000004</v>
      </c>
      <c r="F278" s="3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s="7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 s="5">
        <v>43</v>
      </c>
      <c r="C279">
        <v>100</v>
      </c>
      <c r="D279">
        <v>1</v>
      </c>
      <c r="E279" s="5">
        <v>7016.31</v>
      </c>
      <c r="F279" s="3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s="7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 s="5">
        <v>25</v>
      </c>
      <c r="C280">
        <v>100</v>
      </c>
      <c r="D280">
        <v>3</v>
      </c>
      <c r="E280" s="5">
        <v>4381.25</v>
      </c>
      <c r="F280" s="3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s="7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 s="5">
        <v>27</v>
      </c>
      <c r="C281">
        <v>100</v>
      </c>
      <c r="D281">
        <v>3</v>
      </c>
      <c r="E281" s="5">
        <v>4283.01</v>
      </c>
      <c r="F281" s="3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 s="7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 s="5">
        <v>27</v>
      </c>
      <c r="C282">
        <v>100</v>
      </c>
      <c r="D282">
        <v>6</v>
      </c>
      <c r="E282" s="5">
        <v>4364.82</v>
      </c>
      <c r="F282" s="3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 s="7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 s="5">
        <v>24</v>
      </c>
      <c r="C283">
        <v>100</v>
      </c>
      <c r="D283">
        <v>9</v>
      </c>
      <c r="E283" s="5">
        <v>4242.24</v>
      </c>
      <c r="F283" s="3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s="7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 s="5">
        <v>34</v>
      </c>
      <c r="C284">
        <v>100</v>
      </c>
      <c r="D284">
        <v>14</v>
      </c>
      <c r="E284" s="5">
        <v>4982.7</v>
      </c>
      <c r="F284" s="3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s="7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 s="5">
        <v>46</v>
      </c>
      <c r="C285">
        <v>100</v>
      </c>
      <c r="D285">
        <v>6</v>
      </c>
      <c r="E285" s="5">
        <v>6393.54</v>
      </c>
      <c r="F285" s="3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s="7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 s="5">
        <v>27</v>
      </c>
      <c r="C286">
        <v>54.33</v>
      </c>
      <c r="D286">
        <v>1</v>
      </c>
      <c r="E286" s="5">
        <v>1466.91</v>
      </c>
      <c r="F286" s="3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 s="7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 s="5">
        <v>33</v>
      </c>
      <c r="C287">
        <v>100</v>
      </c>
      <c r="D287">
        <v>11</v>
      </c>
      <c r="E287" s="5">
        <v>4059.33</v>
      </c>
      <c r="F287" s="3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s="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 s="5">
        <v>47</v>
      </c>
      <c r="C288">
        <v>100</v>
      </c>
      <c r="D288">
        <v>4</v>
      </c>
      <c r="E288" s="5">
        <v>4801.5200000000004</v>
      </c>
      <c r="F288" s="3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s="7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 s="5">
        <v>49</v>
      </c>
      <c r="C289">
        <v>55.34</v>
      </c>
      <c r="D289">
        <v>5</v>
      </c>
      <c r="E289" s="5">
        <v>2711.66</v>
      </c>
      <c r="F289" s="3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s="7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 s="5">
        <v>40</v>
      </c>
      <c r="C290">
        <v>100</v>
      </c>
      <c r="D290">
        <v>4</v>
      </c>
      <c r="E290" s="5">
        <v>5862</v>
      </c>
      <c r="F290" s="3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s="7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 s="5">
        <v>37</v>
      </c>
      <c r="C291">
        <v>100</v>
      </c>
      <c r="D291">
        <v>11</v>
      </c>
      <c r="E291" s="5">
        <v>4071.85</v>
      </c>
      <c r="F291" s="3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 s="7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 s="5">
        <v>47</v>
      </c>
      <c r="C292">
        <v>100</v>
      </c>
      <c r="D292">
        <v>3</v>
      </c>
      <c r="E292" s="5">
        <v>8236.75</v>
      </c>
      <c r="F292" s="3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 s="7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 s="5">
        <v>45</v>
      </c>
      <c r="C293">
        <v>100</v>
      </c>
      <c r="D293">
        <v>4</v>
      </c>
      <c r="E293" s="5">
        <v>6130.35</v>
      </c>
      <c r="F293" s="3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s="7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 s="5">
        <v>37</v>
      </c>
      <c r="C294">
        <v>99.82</v>
      </c>
      <c r="D294">
        <v>8</v>
      </c>
      <c r="E294" s="5">
        <v>3693.34</v>
      </c>
      <c r="F294" s="3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s="7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 s="5">
        <v>48</v>
      </c>
      <c r="C295">
        <v>100</v>
      </c>
      <c r="D295">
        <v>5</v>
      </c>
      <c r="E295" s="5">
        <v>6031.68</v>
      </c>
      <c r="F295" s="3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 s="7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 s="5">
        <v>31</v>
      </c>
      <c r="C296">
        <v>100</v>
      </c>
      <c r="D296">
        <v>5</v>
      </c>
      <c r="E296" s="5">
        <v>3494.94</v>
      </c>
      <c r="F296" s="3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 s="7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 s="5">
        <v>46</v>
      </c>
      <c r="C297">
        <v>100</v>
      </c>
      <c r="D297">
        <v>6</v>
      </c>
      <c r="E297" s="5">
        <v>5294.14</v>
      </c>
      <c r="F297" s="3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 s="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 s="5">
        <v>47</v>
      </c>
      <c r="C298">
        <v>100</v>
      </c>
      <c r="D298">
        <v>4</v>
      </c>
      <c r="E298" s="5">
        <v>5464.69</v>
      </c>
      <c r="F298" s="3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s="7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 s="5">
        <v>28</v>
      </c>
      <c r="C299">
        <v>100</v>
      </c>
      <c r="D299">
        <v>12</v>
      </c>
      <c r="E299" s="5">
        <v>2860.76</v>
      </c>
      <c r="F299" s="3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s="7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 s="5">
        <v>40</v>
      </c>
      <c r="C300">
        <v>100</v>
      </c>
      <c r="D300">
        <v>1</v>
      </c>
      <c r="E300" s="5">
        <v>5590</v>
      </c>
      <c r="F300" s="3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s="7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 s="5">
        <v>20</v>
      </c>
      <c r="C301">
        <v>100</v>
      </c>
      <c r="D301">
        <v>6</v>
      </c>
      <c r="E301" s="5">
        <v>2254.8000000000002</v>
      </c>
      <c r="F301" s="3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s="7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 s="5">
        <v>39</v>
      </c>
      <c r="C302">
        <v>100</v>
      </c>
      <c r="D302">
        <v>16</v>
      </c>
      <c r="E302" s="5">
        <v>4946.76</v>
      </c>
      <c r="F302" s="3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s="7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 s="5">
        <v>25</v>
      </c>
      <c r="C303">
        <v>99.82</v>
      </c>
      <c r="D303">
        <v>7</v>
      </c>
      <c r="E303" s="5">
        <v>2495.5</v>
      </c>
      <c r="F303" s="3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s="7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 s="5">
        <v>29</v>
      </c>
      <c r="C304">
        <v>100</v>
      </c>
      <c r="D304">
        <v>1</v>
      </c>
      <c r="E304" s="5">
        <v>3167.38</v>
      </c>
      <c r="F304" s="3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s="7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 s="5">
        <v>22</v>
      </c>
      <c r="C305">
        <v>100</v>
      </c>
      <c r="D305">
        <v>11</v>
      </c>
      <c r="E305" s="5">
        <v>2402.84</v>
      </c>
      <c r="F305" s="3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s="7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 s="5">
        <v>22</v>
      </c>
      <c r="C306">
        <v>100</v>
      </c>
      <c r="D306">
        <v>12</v>
      </c>
      <c r="E306" s="5">
        <v>2454.54</v>
      </c>
      <c r="F306" s="3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s="7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 s="5">
        <v>47</v>
      </c>
      <c r="C307">
        <v>100</v>
      </c>
      <c r="D307">
        <v>1</v>
      </c>
      <c r="E307" s="5">
        <v>5464.69</v>
      </c>
      <c r="F307" s="3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 s="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 s="5">
        <v>45</v>
      </c>
      <c r="C308">
        <v>100</v>
      </c>
      <c r="D308">
        <v>10</v>
      </c>
      <c r="E308" s="5">
        <v>4756.5</v>
      </c>
      <c r="F308" s="3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s="7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 s="5">
        <v>29</v>
      </c>
      <c r="C309">
        <v>100</v>
      </c>
      <c r="D309">
        <v>3</v>
      </c>
      <c r="E309" s="5">
        <v>3984.6</v>
      </c>
      <c r="F309" s="3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s="7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 s="5">
        <v>24</v>
      </c>
      <c r="C310">
        <v>100</v>
      </c>
      <c r="D310">
        <v>8</v>
      </c>
      <c r="E310" s="5">
        <v>3100.32</v>
      </c>
      <c r="F310" s="3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s="7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 s="5">
        <v>35</v>
      </c>
      <c r="C311">
        <v>100</v>
      </c>
      <c r="D311">
        <v>1</v>
      </c>
      <c r="E311" s="5">
        <v>4850.3</v>
      </c>
      <c r="F311" s="3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s="7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 s="5">
        <v>46</v>
      </c>
      <c r="C312">
        <v>83.63</v>
      </c>
      <c r="D312">
        <v>13</v>
      </c>
      <c r="E312" s="5">
        <v>3846.98</v>
      </c>
      <c r="F312" s="3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 s="7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 s="5">
        <v>44</v>
      </c>
      <c r="C313">
        <v>95.93</v>
      </c>
      <c r="D313">
        <v>1</v>
      </c>
      <c r="E313" s="5">
        <v>4220.92</v>
      </c>
      <c r="F313" s="3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s="7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 s="5">
        <v>34</v>
      </c>
      <c r="C314">
        <v>96.73</v>
      </c>
      <c r="D314">
        <v>4</v>
      </c>
      <c r="E314" s="5">
        <v>3288.82</v>
      </c>
      <c r="F314" s="3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s="7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 s="5">
        <v>35</v>
      </c>
      <c r="C315">
        <v>100</v>
      </c>
      <c r="D315">
        <v>1</v>
      </c>
      <c r="E315" s="5">
        <v>3987.2</v>
      </c>
      <c r="F315" s="3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 s="7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 s="5">
        <v>25</v>
      </c>
      <c r="C316">
        <v>72.38</v>
      </c>
      <c r="D316">
        <v>6</v>
      </c>
      <c r="E316" s="5">
        <v>1809.5</v>
      </c>
      <c r="F316" s="3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s="7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 s="5">
        <v>10</v>
      </c>
      <c r="C317">
        <v>100</v>
      </c>
      <c r="D317">
        <v>11</v>
      </c>
      <c r="E317" s="5">
        <v>1092.2</v>
      </c>
      <c r="F317" s="3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s="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 s="5">
        <v>29</v>
      </c>
      <c r="C318">
        <v>100</v>
      </c>
      <c r="D318">
        <v>14</v>
      </c>
      <c r="E318" s="5">
        <v>4566.05</v>
      </c>
      <c r="F318" s="3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s="7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 s="5">
        <v>39</v>
      </c>
      <c r="C319">
        <v>100</v>
      </c>
      <c r="D319">
        <v>8</v>
      </c>
      <c r="E319" s="5">
        <v>5938.14</v>
      </c>
      <c r="F319" s="3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s="7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 s="5">
        <v>42</v>
      </c>
      <c r="C320">
        <v>100</v>
      </c>
      <c r="D320">
        <v>1</v>
      </c>
      <c r="E320" s="5">
        <v>8138.76</v>
      </c>
      <c r="F320" s="3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 s="7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 s="5">
        <v>46</v>
      </c>
      <c r="C321">
        <v>100</v>
      </c>
      <c r="D321">
        <v>11</v>
      </c>
      <c r="E321" s="5">
        <v>9470.94</v>
      </c>
      <c r="F321" s="3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 s="7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 s="5">
        <v>49</v>
      </c>
      <c r="C322">
        <v>100</v>
      </c>
      <c r="D322">
        <v>10</v>
      </c>
      <c r="E322" s="5">
        <v>7036.89</v>
      </c>
      <c r="F322" s="3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s="7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 s="5">
        <v>27</v>
      </c>
      <c r="C323">
        <v>100</v>
      </c>
      <c r="D323">
        <v>2</v>
      </c>
      <c r="E323" s="5">
        <v>5559.03</v>
      </c>
      <c r="F323" s="3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s="7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 s="5">
        <v>50</v>
      </c>
      <c r="C324">
        <v>100</v>
      </c>
      <c r="D324">
        <v>1</v>
      </c>
      <c r="E324" s="5">
        <v>7872.5</v>
      </c>
      <c r="F324" s="3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s="7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 s="5">
        <v>43</v>
      </c>
      <c r="C325">
        <v>100</v>
      </c>
      <c r="D325">
        <v>12</v>
      </c>
      <c r="E325" s="5">
        <v>7886.2</v>
      </c>
      <c r="F325" s="3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 s="7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 s="5">
        <v>38</v>
      </c>
      <c r="C326">
        <v>100</v>
      </c>
      <c r="D326">
        <v>4</v>
      </c>
      <c r="E326" s="5">
        <v>7232.16</v>
      </c>
      <c r="F326" s="3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 s="7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 s="5">
        <v>20</v>
      </c>
      <c r="C327">
        <v>100</v>
      </c>
      <c r="D327">
        <v>12</v>
      </c>
      <c r="E327" s="5">
        <v>3114.4</v>
      </c>
      <c r="F327" s="3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s="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 s="5">
        <v>27</v>
      </c>
      <c r="C328">
        <v>100</v>
      </c>
      <c r="D328">
        <v>1</v>
      </c>
      <c r="E328" s="5">
        <v>5045.22</v>
      </c>
      <c r="F328" s="3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s="7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 s="5">
        <v>49</v>
      </c>
      <c r="C329">
        <v>100</v>
      </c>
      <c r="D329">
        <v>1</v>
      </c>
      <c r="E329" s="5">
        <v>6952.12</v>
      </c>
      <c r="F329" s="3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s="7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 s="5">
        <v>27</v>
      </c>
      <c r="C330">
        <v>100</v>
      </c>
      <c r="D330">
        <v>1</v>
      </c>
      <c r="E330" s="5">
        <v>4157.7299999999996</v>
      </c>
      <c r="F330" s="3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s="7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 s="5">
        <v>39</v>
      </c>
      <c r="C331">
        <v>100</v>
      </c>
      <c r="D331">
        <v>1</v>
      </c>
      <c r="E331" s="5">
        <v>7962.24</v>
      </c>
      <c r="F331" s="3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 s="7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 s="5">
        <v>24</v>
      </c>
      <c r="C332">
        <v>100</v>
      </c>
      <c r="D332">
        <v>4</v>
      </c>
      <c r="E332" s="5">
        <v>3778.8</v>
      </c>
      <c r="F332" s="3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 s="7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 s="5">
        <v>45</v>
      </c>
      <c r="C333">
        <v>100</v>
      </c>
      <c r="D333">
        <v>7</v>
      </c>
      <c r="E333" s="5">
        <v>8253</v>
      </c>
      <c r="F333" s="3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s="7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 s="5">
        <v>20</v>
      </c>
      <c r="C334">
        <v>100</v>
      </c>
      <c r="D334">
        <v>12</v>
      </c>
      <c r="E334" s="5">
        <v>3633.4</v>
      </c>
      <c r="F334" s="3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s="7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 s="5">
        <v>36</v>
      </c>
      <c r="C335">
        <v>100</v>
      </c>
      <c r="D335">
        <v>4</v>
      </c>
      <c r="E335" s="5">
        <v>6913.8</v>
      </c>
      <c r="F335" s="3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s="7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 s="5">
        <v>24</v>
      </c>
      <c r="C336">
        <v>100</v>
      </c>
      <c r="D336">
        <v>1</v>
      </c>
      <c r="E336" s="5">
        <v>2583.6</v>
      </c>
      <c r="F336" s="3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s="7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 s="5">
        <v>49</v>
      </c>
      <c r="C337">
        <v>63.38</v>
      </c>
      <c r="D337">
        <v>1</v>
      </c>
      <c r="E337" s="5">
        <v>3105.62</v>
      </c>
      <c r="F337" s="3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s="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 s="5">
        <v>26</v>
      </c>
      <c r="C338">
        <v>100</v>
      </c>
      <c r="D338">
        <v>10</v>
      </c>
      <c r="E338" s="5">
        <v>4408.5600000000004</v>
      </c>
      <c r="F338" s="3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 s="7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 s="5">
        <v>49</v>
      </c>
      <c r="C339">
        <v>62.09</v>
      </c>
      <c r="D339">
        <v>5</v>
      </c>
      <c r="E339" s="5">
        <v>3042.41</v>
      </c>
      <c r="F339" s="3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s="7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 s="5">
        <v>34</v>
      </c>
      <c r="C340">
        <v>100</v>
      </c>
      <c r="D340">
        <v>1</v>
      </c>
      <c r="E340" s="5">
        <v>5941.5</v>
      </c>
      <c r="F340" s="3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s="7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 s="5">
        <v>34</v>
      </c>
      <c r="C341">
        <v>95.35</v>
      </c>
      <c r="D341">
        <v>12</v>
      </c>
      <c r="E341" s="5">
        <v>3241.9</v>
      </c>
      <c r="F341" s="3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 s="7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 s="5">
        <v>33</v>
      </c>
      <c r="C342">
        <v>100</v>
      </c>
      <c r="D342">
        <v>3</v>
      </c>
      <c r="E342" s="5">
        <v>6109.29</v>
      </c>
      <c r="F342" s="3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 s="7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 s="5">
        <v>22</v>
      </c>
      <c r="C343">
        <v>100</v>
      </c>
      <c r="D343">
        <v>1</v>
      </c>
      <c r="E343" s="5">
        <v>3387.78</v>
      </c>
      <c r="F343" s="3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 s="7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 s="5">
        <v>39</v>
      </c>
      <c r="C344">
        <v>89.38</v>
      </c>
      <c r="D344">
        <v>7</v>
      </c>
      <c r="E344" s="5">
        <v>3485.82</v>
      </c>
      <c r="F344" s="3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s="7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 s="5">
        <v>32</v>
      </c>
      <c r="C345">
        <v>63.84</v>
      </c>
      <c r="D345">
        <v>11</v>
      </c>
      <c r="E345" s="5">
        <v>2042.88</v>
      </c>
      <c r="F345" s="3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s="7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 s="5">
        <v>24</v>
      </c>
      <c r="C346">
        <v>75.010000000000005</v>
      </c>
      <c r="D346">
        <v>8</v>
      </c>
      <c r="E346" s="5">
        <v>1800.24</v>
      </c>
      <c r="F346" s="3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 s="7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 s="5">
        <v>21</v>
      </c>
      <c r="C347">
        <v>63.84</v>
      </c>
      <c r="D347">
        <v>8</v>
      </c>
      <c r="E347" s="5">
        <v>1340.64</v>
      </c>
      <c r="F347" s="3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 s="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 s="5">
        <v>24</v>
      </c>
      <c r="C348">
        <v>73.42</v>
      </c>
      <c r="D348">
        <v>3</v>
      </c>
      <c r="E348" s="5">
        <v>1762.08</v>
      </c>
      <c r="F348" s="3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 s="7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 s="5">
        <v>36</v>
      </c>
      <c r="C349">
        <v>63.84</v>
      </c>
      <c r="D349">
        <v>3</v>
      </c>
      <c r="E349" s="5">
        <v>2298.2399999999998</v>
      </c>
      <c r="F349" s="3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s="7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 s="5">
        <v>20</v>
      </c>
      <c r="C350">
        <v>81.400000000000006</v>
      </c>
      <c r="D350">
        <v>15</v>
      </c>
      <c r="E350" s="5">
        <v>1628</v>
      </c>
      <c r="F350" s="3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s="7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 s="5">
        <v>30</v>
      </c>
      <c r="C351">
        <v>64.64</v>
      </c>
      <c r="D351">
        <v>4</v>
      </c>
      <c r="E351" s="5">
        <v>1939.2</v>
      </c>
      <c r="F351" s="3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s="7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 s="5">
        <v>44</v>
      </c>
      <c r="C352">
        <v>82.99</v>
      </c>
      <c r="D352">
        <v>9</v>
      </c>
      <c r="E352" s="5">
        <v>3651.56</v>
      </c>
      <c r="F352" s="3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s="7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 s="5">
        <v>28</v>
      </c>
      <c r="C353">
        <v>92.57</v>
      </c>
      <c r="D353">
        <v>3</v>
      </c>
      <c r="E353" s="5">
        <v>2591.96</v>
      </c>
      <c r="F353" s="3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s="7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 s="5">
        <v>37</v>
      </c>
      <c r="C354">
        <v>77.41</v>
      </c>
      <c r="D354">
        <v>10</v>
      </c>
      <c r="E354" s="5">
        <v>2864.17</v>
      </c>
      <c r="F354" s="3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s="7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 s="5">
        <v>20</v>
      </c>
      <c r="C355">
        <v>74.209999999999994</v>
      </c>
      <c r="D355">
        <v>4</v>
      </c>
      <c r="E355" s="5">
        <v>1484.2</v>
      </c>
      <c r="F355" s="3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s="7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 s="5">
        <v>25</v>
      </c>
      <c r="C356">
        <v>90.17</v>
      </c>
      <c r="D356">
        <v>14</v>
      </c>
      <c r="E356" s="5">
        <v>2254.25</v>
      </c>
      <c r="F356" s="3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s="7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 s="5">
        <v>35</v>
      </c>
      <c r="C357">
        <v>76.61</v>
      </c>
      <c r="D357">
        <v>15</v>
      </c>
      <c r="E357" s="5">
        <v>2681.35</v>
      </c>
      <c r="F357" s="3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s="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 s="5">
        <v>38</v>
      </c>
      <c r="C358">
        <v>83.79</v>
      </c>
      <c r="D358">
        <v>4</v>
      </c>
      <c r="E358" s="5">
        <v>3184.02</v>
      </c>
      <c r="F358" s="3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 s="7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 s="5">
        <v>41</v>
      </c>
      <c r="C359">
        <v>69.430000000000007</v>
      </c>
      <c r="D359">
        <v>13</v>
      </c>
      <c r="E359" s="5">
        <v>2846.63</v>
      </c>
      <c r="F359" s="3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s="7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 s="5">
        <v>22</v>
      </c>
      <c r="C360">
        <v>76.61</v>
      </c>
      <c r="D360">
        <v>6</v>
      </c>
      <c r="E360" s="5">
        <v>1685.42</v>
      </c>
      <c r="F360" s="3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s="7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 s="5">
        <v>49</v>
      </c>
      <c r="C361">
        <v>81.400000000000006</v>
      </c>
      <c r="D361">
        <v>11</v>
      </c>
      <c r="E361" s="5">
        <v>3988.6</v>
      </c>
      <c r="F361" s="3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s="7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 s="5">
        <v>38</v>
      </c>
      <c r="C362">
        <v>73.42</v>
      </c>
      <c r="D362">
        <v>4</v>
      </c>
      <c r="E362" s="5">
        <v>2789.96</v>
      </c>
      <c r="F362" s="3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s="7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 s="5">
        <v>33</v>
      </c>
      <c r="C363">
        <v>100</v>
      </c>
      <c r="D363">
        <v>14</v>
      </c>
      <c r="E363" s="5">
        <v>3607.56</v>
      </c>
      <c r="F363" s="3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 s="7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 s="5">
        <v>36</v>
      </c>
      <c r="C364">
        <v>93.56</v>
      </c>
      <c r="D364">
        <v>10</v>
      </c>
      <c r="E364" s="5">
        <v>3368.16</v>
      </c>
      <c r="F364" s="3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s="7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 s="5">
        <v>34</v>
      </c>
      <c r="C365">
        <v>81.62</v>
      </c>
      <c r="D365">
        <v>5</v>
      </c>
      <c r="E365" s="5">
        <v>2775.08</v>
      </c>
      <c r="F365" s="3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s="7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 s="5">
        <v>24</v>
      </c>
      <c r="C366">
        <v>67.83</v>
      </c>
      <c r="D366">
        <v>5</v>
      </c>
      <c r="E366" s="5">
        <v>1627.92</v>
      </c>
      <c r="F366" s="3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s="7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 s="5">
        <v>36</v>
      </c>
      <c r="C367">
        <v>70.260000000000005</v>
      </c>
      <c r="D367">
        <v>7</v>
      </c>
      <c r="E367" s="5">
        <v>2529.36</v>
      </c>
      <c r="F367" s="3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s="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 s="5">
        <v>34</v>
      </c>
      <c r="C368">
        <v>90.17</v>
      </c>
      <c r="D368">
        <v>14</v>
      </c>
      <c r="E368" s="5">
        <v>3065.78</v>
      </c>
      <c r="F368" s="3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s="7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 s="5">
        <v>41</v>
      </c>
      <c r="C369">
        <v>100</v>
      </c>
      <c r="D369">
        <v>9</v>
      </c>
      <c r="E369" s="5">
        <v>4615.78</v>
      </c>
      <c r="F369" s="3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s="7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 s="5">
        <v>46</v>
      </c>
      <c r="C370">
        <v>100</v>
      </c>
      <c r="D370">
        <v>5</v>
      </c>
      <c r="E370" s="5">
        <v>5723.78</v>
      </c>
      <c r="F370" s="3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 s="7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 s="5">
        <v>24</v>
      </c>
      <c r="C371">
        <v>100</v>
      </c>
      <c r="D371">
        <v>11</v>
      </c>
      <c r="E371" s="5">
        <v>2559.6</v>
      </c>
      <c r="F371" s="3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 s="7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 s="5">
        <v>21</v>
      </c>
      <c r="C372">
        <v>100</v>
      </c>
      <c r="D372">
        <v>5</v>
      </c>
      <c r="E372" s="5">
        <v>2140.11</v>
      </c>
      <c r="F372" s="3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s="7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 s="5">
        <v>24</v>
      </c>
      <c r="C373">
        <v>100</v>
      </c>
      <c r="D373">
        <v>3</v>
      </c>
      <c r="E373" s="5">
        <v>3327.6</v>
      </c>
      <c r="F373" s="3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s="7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 s="5">
        <v>48</v>
      </c>
      <c r="C374">
        <v>100</v>
      </c>
      <c r="D374">
        <v>12</v>
      </c>
      <c r="E374" s="5">
        <v>6825.6</v>
      </c>
      <c r="F374" s="3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s="7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 s="5">
        <v>26</v>
      </c>
      <c r="C375">
        <v>100</v>
      </c>
      <c r="D375">
        <v>1</v>
      </c>
      <c r="E375" s="5">
        <v>3543.28</v>
      </c>
      <c r="F375" s="3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s="7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 s="5">
        <v>37</v>
      </c>
      <c r="C376">
        <v>100</v>
      </c>
      <c r="D376">
        <v>6</v>
      </c>
      <c r="E376" s="5">
        <v>4516.22</v>
      </c>
      <c r="F376" s="3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s="7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 s="5">
        <v>49</v>
      </c>
      <c r="C377">
        <v>100</v>
      </c>
      <c r="D377">
        <v>6</v>
      </c>
      <c r="E377" s="5">
        <v>6445.46</v>
      </c>
      <c r="F377" s="3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 s="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 s="5">
        <v>34</v>
      </c>
      <c r="C378">
        <v>99.54</v>
      </c>
      <c r="D378">
        <v>7</v>
      </c>
      <c r="E378" s="5">
        <v>3384.36</v>
      </c>
      <c r="F378" s="3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 s="7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 s="5">
        <v>48</v>
      </c>
      <c r="C379">
        <v>100</v>
      </c>
      <c r="D379">
        <v>2</v>
      </c>
      <c r="E379" s="5">
        <v>4891.68</v>
      </c>
      <c r="F379" s="3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 s="7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 s="5">
        <v>36</v>
      </c>
      <c r="C380">
        <v>100</v>
      </c>
      <c r="D380">
        <v>1</v>
      </c>
      <c r="E380" s="5">
        <v>4521.96</v>
      </c>
      <c r="F380" s="3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 s="7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 s="5">
        <v>46</v>
      </c>
      <c r="C381">
        <v>100</v>
      </c>
      <c r="D381">
        <v>5</v>
      </c>
      <c r="E381" s="5">
        <v>5069.66</v>
      </c>
      <c r="F381" s="3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s="7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 s="5">
        <v>46</v>
      </c>
      <c r="C382">
        <v>100</v>
      </c>
      <c r="D382">
        <v>4</v>
      </c>
      <c r="E382" s="5">
        <v>6541.2</v>
      </c>
      <c r="F382" s="3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s="7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 s="5">
        <v>31</v>
      </c>
      <c r="C383">
        <v>97.17</v>
      </c>
      <c r="D383">
        <v>5</v>
      </c>
      <c r="E383" s="5">
        <v>3012.27</v>
      </c>
      <c r="F383" s="3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 s="7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 s="5">
        <v>41</v>
      </c>
      <c r="C384">
        <v>100</v>
      </c>
      <c r="D384">
        <v>1</v>
      </c>
      <c r="E384" s="5">
        <v>5247.18</v>
      </c>
      <c r="F384" s="3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 s="7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 s="5">
        <v>21</v>
      </c>
      <c r="C385">
        <v>100</v>
      </c>
      <c r="D385">
        <v>8</v>
      </c>
      <c r="E385" s="5">
        <v>2214.87</v>
      </c>
      <c r="F385" s="3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 s="7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 s="5">
        <v>38</v>
      </c>
      <c r="C386">
        <v>100</v>
      </c>
      <c r="D386">
        <v>5</v>
      </c>
      <c r="E386" s="5">
        <v>4773.18</v>
      </c>
      <c r="F386" s="3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 s="7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 s="5">
        <v>45</v>
      </c>
      <c r="C387">
        <v>100</v>
      </c>
      <c r="D387">
        <v>14</v>
      </c>
      <c r="E387" s="5">
        <v>6185.7</v>
      </c>
      <c r="F387" s="3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s="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 s="5">
        <v>26</v>
      </c>
      <c r="C388">
        <v>58.38</v>
      </c>
      <c r="D388">
        <v>7</v>
      </c>
      <c r="E388" s="5">
        <v>1517.88</v>
      </c>
      <c r="F388" s="3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 s="7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 s="5">
        <v>38</v>
      </c>
      <c r="C389">
        <v>100</v>
      </c>
      <c r="D389">
        <v>3</v>
      </c>
      <c r="E389" s="5">
        <v>6372.6</v>
      </c>
      <c r="F389" s="3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s="7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 s="5">
        <v>48</v>
      </c>
      <c r="C390">
        <v>100</v>
      </c>
      <c r="D390">
        <v>9</v>
      </c>
      <c r="E390" s="5">
        <v>5232.96</v>
      </c>
      <c r="F390" s="3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 s="7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 s="5">
        <v>42</v>
      </c>
      <c r="C391">
        <v>64.16</v>
      </c>
      <c r="D391">
        <v>9</v>
      </c>
      <c r="E391" s="5">
        <v>2694.72</v>
      </c>
      <c r="F391" s="3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s="7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 s="5">
        <v>49</v>
      </c>
      <c r="C392">
        <v>35.71</v>
      </c>
      <c r="D392">
        <v>4</v>
      </c>
      <c r="E392" s="5">
        <v>1749.79</v>
      </c>
      <c r="F392" s="3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 s="7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 s="5">
        <v>32</v>
      </c>
      <c r="C393">
        <v>66.58</v>
      </c>
      <c r="D393">
        <v>13</v>
      </c>
      <c r="E393" s="5">
        <v>2130.56</v>
      </c>
      <c r="F393" s="3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 s="7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 s="5">
        <v>54</v>
      </c>
      <c r="C394">
        <v>100</v>
      </c>
      <c r="D394">
        <v>5</v>
      </c>
      <c r="E394" s="5">
        <v>5951.34</v>
      </c>
      <c r="F394" s="3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s="7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 s="5">
        <v>33</v>
      </c>
      <c r="C395">
        <v>100</v>
      </c>
      <c r="D395">
        <v>4</v>
      </c>
      <c r="E395" s="5">
        <v>4692.6000000000004</v>
      </c>
      <c r="F395" s="3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s="7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 s="5">
        <v>36</v>
      </c>
      <c r="C396">
        <v>100</v>
      </c>
      <c r="D396">
        <v>3</v>
      </c>
      <c r="E396" s="5">
        <v>3731.04</v>
      </c>
      <c r="F396" s="3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s="7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 s="5">
        <v>20</v>
      </c>
      <c r="C397">
        <v>100</v>
      </c>
      <c r="D397">
        <v>7</v>
      </c>
      <c r="E397" s="5">
        <v>2142</v>
      </c>
      <c r="F397" s="3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s="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 s="5">
        <v>29</v>
      </c>
      <c r="C398">
        <v>97.89</v>
      </c>
      <c r="D398">
        <v>4</v>
      </c>
      <c r="E398" s="5">
        <v>2838.81</v>
      </c>
      <c r="F398" s="3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 s="7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 s="5">
        <v>33</v>
      </c>
      <c r="C399">
        <v>97.89</v>
      </c>
      <c r="D399">
        <v>4</v>
      </c>
      <c r="E399" s="5">
        <v>3230.37</v>
      </c>
      <c r="F399" s="3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 s="7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 s="5">
        <v>50</v>
      </c>
      <c r="C400">
        <v>100</v>
      </c>
      <c r="D400">
        <v>5</v>
      </c>
      <c r="E400" s="5">
        <v>5182</v>
      </c>
      <c r="F400" s="3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 s="7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 s="5">
        <v>41</v>
      </c>
      <c r="C401">
        <v>100</v>
      </c>
      <c r="D401">
        <v>3</v>
      </c>
      <c r="E401" s="5">
        <v>4391.1000000000004</v>
      </c>
      <c r="F401" s="3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s="7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 s="5">
        <v>36</v>
      </c>
      <c r="C402">
        <v>100</v>
      </c>
      <c r="D402">
        <v>11</v>
      </c>
      <c r="E402" s="5">
        <v>4477.32</v>
      </c>
      <c r="F402" s="3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s="7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 s="5">
        <v>27</v>
      </c>
      <c r="C403">
        <v>100</v>
      </c>
      <c r="D403">
        <v>16</v>
      </c>
      <c r="E403" s="5">
        <v>3544.56</v>
      </c>
      <c r="F403" s="3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 s="7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 s="5">
        <v>47</v>
      </c>
      <c r="C404">
        <v>100</v>
      </c>
      <c r="D404">
        <v>5</v>
      </c>
      <c r="E404" s="5">
        <v>5195.8500000000004</v>
      </c>
      <c r="F404" s="3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s="7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 s="5">
        <v>33</v>
      </c>
      <c r="C405">
        <v>100</v>
      </c>
      <c r="D405">
        <v>15</v>
      </c>
      <c r="E405" s="5">
        <v>4180.4399999999996</v>
      </c>
      <c r="F405" s="3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s="7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 s="5">
        <v>21</v>
      </c>
      <c r="C406">
        <v>100</v>
      </c>
      <c r="D406">
        <v>6</v>
      </c>
      <c r="E406" s="5">
        <v>2684.43</v>
      </c>
      <c r="F406" s="3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s="7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 s="5">
        <v>21</v>
      </c>
      <c r="C407">
        <v>93.28</v>
      </c>
      <c r="D407">
        <v>5</v>
      </c>
      <c r="E407" s="5">
        <v>1958.88</v>
      </c>
      <c r="F407" s="3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s="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 s="5">
        <v>41</v>
      </c>
      <c r="C408">
        <v>100</v>
      </c>
      <c r="D408">
        <v>10</v>
      </c>
      <c r="E408" s="5">
        <v>4910.57</v>
      </c>
      <c r="F408" s="3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s="7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 s="5">
        <v>40</v>
      </c>
      <c r="C409">
        <v>100</v>
      </c>
      <c r="D409">
        <v>11</v>
      </c>
      <c r="E409" s="5">
        <v>4468.3999999999996</v>
      </c>
      <c r="F409" s="3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s="7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 s="5">
        <v>28</v>
      </c>
      <c r="C410">
        <v>100</v>
      </c>
      <c r="D410">
        <v>1</v>
      </c>
      <c r="E410" s="5">
        <v>3127.88</v>
      </c>
      <c r="F410" s="3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s="7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 s="5">
        <v>23</v>
      </c>
      <c r="C411">
        <v>100</v>
      </c>
      <c r="D411">
        <v>9</v>
      </c>
      <c r="E411" s="5">
        <v>2675.13</v>
      </c>
      <c r="F411" s="3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s="7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 s="5">
        <v>23</v>
      </c>
      <c r="C412">
        <v>100</v>
      </c>
      <c r="D412">
        <v>2</v>
      </c>
      <c r="E412" s="5">
        <v>2807.61</v>
      </c>
      <c r="F412" s="3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s="7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 s="5">
        <v>25</v>
      </c>
      <c r="C413">
        <v>100</v>
      </c>
      <c r="D413">
        <v>7</v>
      </c>
      <c r="E413" s="5">
        <v>2504.75</v>
      </c>
      <c r="F413" s="3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s="7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 s="5">
        <v>24</v>
      </c>
      <c r="C414">
        <v>100</v>
      </c>
      <c r="D414">
        <v>15</v>
      </c>
      <c r="E414" s="5">
        <v>2984.88</v>
      </c>
      <c r="F414" s="3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 s="7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 s="5">
        <v>39</v>
      </c>
      <c r="C415">
        <v>64.739999999999995</v>
      </c>
      <c r="D415">
        <v>15</v>
      </c>
      <c r="E415" s="5">
        <v>2524.86</v>
      </c>
      <c r="F415" s="3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 s="7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 s="5">
        <v>55</v>
      </c>
      <c r="C416">
        <v>75.2</v>
      </c>
      <c r="D416">
        <v>7</v>
      </c>
      <c r="E416" s="5">
        <v>4136</v>
      </c>
      <c r="F416" s="3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s="7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 s="5">
        <v>46</v>
      </c>
      <c r="C417">
        <v>88.45</v>
      </c>
      <c r="D417">
        <v>6</v>
      </c>
      <c r="E417" s="5">
        <v>4068.7</v>
      </c>
      <c r="F417" s="3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s="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 s="5">
        <v>50</v>
      </c>
      <c r="C418">
        <v>100</v>
      </c>
      <c r="D418">
        <v>1</v>
      </c>
      <c r="E418" s="5">
        <v>5182</v>
      </c>
      <c r="F418" s="3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s="7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 s="5">
        <v>47</v>
      </c>
      <c r="C419">
        <v>100</v>
      </c>
      <c r="D419">
        <v>8</v>
      </c>
      <c r="E419" s="5">
        <v>5243.79</v>
      </c>
      <c r="F419" s="3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s="7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 s="5">
        <v>97</v>
      </c>
      <c r="C420">
        <v>93.28</v>
      </c>
      <c r="D420">
        <v>5</v>
      </c>
      <c r="E420" s="5">
        <v>9048.16</v>
      </c>
      <c r="F420" s="3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s="7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 s="5">
        <v>32</v>
      </c>
      <c r="C421">
        <v>100</v>
      </c>
      <c r="D421">
        <v>10</v>
      </c>
      <c r="E421" s="5">
        <v>3832.64</v>
      </c>
      <c r="F421" s="3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s="7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 s="5">
        <v>35</v>
      </c>
      <c r="C422">
        <v>100</v>
      </c>
      <c r="D422">
        <v>10</v>
      </c>
      <c r="E422" s="5">
        <v>3920</v>
      </c>
      <c r="F422" s="3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s="7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 s="5">
        <v>49</v>
      </c>
      <c r="C423">
        <v>100</v>
      </c>
      <c r="D423">
        <v>4</v>
      </c>
      <c r="E423" s="5">
        <v>4916.66</v>
      </c>
      <c r="F423" s="3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 s="7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 s="5">
        <v>38</v>
      </c>
      <c r="C424">
        <v>100</v>
      </c>
      <c r="D424">
        <v>10</v>
      </c>
      <c r="E424" s="5">
        <v>3857</v>
      </c>
      <c r="F424" s="3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s="7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 s="5">
        <v>32</v>
      </c>
      <c r="C425">
        <v>100</v>
      </c>
      <c r="D425">
        <v>10</v>
      </c>
      <c r="E425" s="5">
        <v>4181.4399999999996</v>
      </c>
      <c r="F425" s="3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 s="7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 s="5">
        <v>34</v>
      </c>
      <c r="C426">
        <v>100</v>
      </c>
      <c r="D426">
        <v>7</v>
      </c>
      <c r="E426" s="5">
        <v>4641</v>
      </c>
      <c r="F426" s="3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s="7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 s="5">
        <v>36</v>
      </c>
      <c r="C427">
        <v>99.17</v>
      </c>
      <c r="D427">
        <v>8</v>
      </c>
      <c r="E427" s="5">
        <v>3570.12</v>
      </c>
      <c r="F427" s="3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s="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 s="5">
        <v>48</v>
      </c>
      <c r="C428">
        <v>93.34</v>
      </c>
      <c r="D428">
        <v>3</v>
      </c>
      <c r="E428" s="5">
        <v>4480.32</v>
      </c>
      <c r="F428" s="3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s="7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 s="5">
        <v>21</v>
      </c>
      <c r="C429">
        <v>96.84</v>
      </c>
      <c r="D429">
        <v>7</v>
      </c>
      <c r="E429" s="5">
        <v>2033.64</v>
      </c>
      <c r="F429" s="3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 s="7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 s="5">
        <v>21</v>
      </c>
      <c r="C430">
        <v>93.34</v>
      </c>
      <c r="D430">
        <v>10</v>
      </c>
      <c r="E430" s="5">
        <v>1960.14</v>
      </c>
      <c r="F430" s="3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s="7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 s="5">
        <v>34</v>
      </c>
      <c r="C431">
        <v>100</v>
      </c>
      <c r="D431">
        <v>5</v>
      </c>
      <c r="E431" s="5">
        <v>3966.78</v>
      </c>
      <c r="F431" s="3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s="7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 s="5">
        <v>46</v>
      </c>
      <c r="C432">
        <v>100</v>
      </c>
      <c r="D432">
        <v>2</v>
      </c>
      <c r="E432" s="5">
        <v>5152</v>
      </c>
      <c r="F432" s="3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 s="7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 s="5">
        <v>32</v>
      </c>
      <c r="C433">
        <v>100</v>
      </c>
      <c r="D433">
        <v>1</v>
      </c>
      <c r="E433" s="5">
        <v>3360</v>
      </c>
      <c r="F433" s="3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 s="7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 s="5">
        <v>29</v>
      </c>
      <c r="C434">
        <v>100</v>
      </c>
      <c r="D434">
        <v>8</v>
      </c>
      <c r="E434" s="5">
        <v>3451</v>
      </c>
      <c r="F434" s="3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 s="7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 s="5">
        <v>41</v>
      </c>
      <c r="C435">
        <v>100</v>
      </c>
      <c r="D435">
        <v>5</v>
      </c>
      <c r="E435" s="5">
        <v>5453</v>
      </c>
      <c r="F435" s="3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s="7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 s="5">
        <v>43</v>
      </c>
      <c r="C436">
        <v>96.84</v>
      </c>
      <c r="D436">
        <v>8</v>
      </c>
      <c r="E436" s="5">
        <v>4164.12</v>
      </c>
      <c r="F436" s="3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s="7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 s="5">
        <v>24</v>
      </c>
      <c r="C437">
        <v>100</v>
      </c>
      <c r="D437">
        <v>1</v>
      </c>
      <c r="E437" s="5">
        <v>2800.08</v>
      </c>
      <c r="F437" s="3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s="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 s="5">
        <v>41</v>
      </c>
      <c r="C438">
        <v>100</v>
      </c>
      <c r="D438">
        <v>10</v>
      </c>
      <c r="E438" s="5">
        <v>4687.9399999999996</v>
      </c>
      <c r="F438" s="3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s="7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 s="5">
        <v>46</v>
      </c>
      <c r="C439">
        <v>98</v>
      </c>
      <c r="D439">
        <v>5</v>
      </c>
      <c r="E439" s="5">
        <v>4508</v>
      </c>
      <c r="F439" s="3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s="7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 s="5">
        <v>32</v>
      </c>
      <c r="C440">
        <v>100</v>
      </c>
      <c r="D440">
        <v>2</v>
      </c>
      <c r="E440" s="5">
        <v>4181.4399999999996</v>
      </c>
      <c r="F440" s="3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 s="7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 s="5">
        <v>22</v>
      </c>
      <c r="C441">
        <v>100</v>
      </c>
      <c r="D441">
        <v>10</v>
      </c>
      <c r="E441" s="5">
        <v>2251.04</v>
      </c>
      <c r="F441" s="3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 s="7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 s="5">
        <v>29</v>
      </c>
      <c r="C442">
        <v>40.25</v>
      </c>
      <c r="D442">
        <v>7</v>
      </c>
      <c r="E442" s="5">
        <v>1167.25</v>
      </c>
      <c r="F442" s="3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 s="7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 s="5">
        <v>42</v>
      </c>
      <c r="C443">
        <v>49.6</v>
      </c>
      <c r="D443">
        <v>5</v>
      </c>
      <c r="E443" s="5">
        <v>2083.1999999999998</v>
      </c>
      <c r="F443" s="3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s="7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 s="5">
        <v>39</v>
      </c>
      <c r="C444">
        <v>98</v>
      </c>
      <c r="D444">
        <v>1</v>
      </c>
      <c r="E444" s="5">
        <v>3822</v>
      </c>
      <c r="F444" s="3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 s="7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 s="5">
        <v>27</v>
      </c>
      <c r="C445">
        <v>100</v>
      </c>
      <c r="D445">
        <v>1</v>
      </c>
      <c r="E445" s="5">
        <v>3911.49</v>
      </c>
      <c r="F445" s="3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s="7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 s="5">
        <v>48</v>
      </c>
      <c r="C446">
        <v>98</v>
      </c>
      <c r="D446">
        <v>2</v>
      </c>
      <c r="E446" s="5">
        <v>4704</v>
      </c>
      <c r="F446" s="3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 s="7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 s="5">
        <v>29</v>
      </c>
      <c r="C447">
        <v>85.1</v>
      </c>
      <c r="D447">
        <v>10</v>
      </c>
      <c r="E447" s="5">
        <v>2467.9</v>
      </c>
      <c r="F447" s="3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s="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 s="5">
        <v>27</v>
      </c>
      <c r="C448">
        <v>100</v>
      </c>
      <c r="D448">
        <v>8</v>
      </c>
      <c r="E448" s="5">
        <v>3213</v>
      </c>
      <c r="F448" s="3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s="7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 s="5">
        <v>54</v>
      </c>
      <c r="C449">
        <v>100</v>
      </c>
      <c r="D449">
        <v>5</v>
      </c>
      <c r="E449" s="5">
        <v>7182</v>
      </c>
      <c r="F449" s="3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s="7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 s="5">
        <v>26</v>
      </c>
      <c r="C450">
        <v>100</v>
      </c>
      <c r="D450">
        <v>4</v>
      </c>
      <c r="E450" s="5">
        <v>4379.18</v>
      </c>
      <c r="F450" s="3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 s="7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 s="5">
        <v>34</v>
      </c>
      <c r="C451">
        <v>100</v>
      </c>
      <c r="D451">
        <v>2</v>
      </c>
      <c r="E451" s="5">
        <v>5004.8</v>
      </c>
      <c r="F451" s="3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s="7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 s="5">
        <v>25</v>
      </c>
      <c r="C452">
        <v>100</v>
      </c>
      <c r="D452">
        <v>2</v>
      </c>
      <c r="E452" s="5">
        <v>3644.75</v>
      </c>
      <c r="F452" s="3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s="7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 s="5">
        <v>23</v>
      </c>
      <c r="C453">
        <v>100</v>
      </c>
      <c r="D453">
        <v>13</v>
      </c>
      <c r="E453" s="5">
        <v>2702.04</v>
      </c>
      <c r="F453" s="3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s="7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 s="5">
        <v>28</v>
      </c>
      <c r="C454">
        <v>100</v>
      </c>
      <c r="D454">
        <v>12</v>
      </c>
      <c r="E454" s="5">
        <v>3764.88</v>
      </c>
      <c r="F454" s="3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s="7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 s="5">
        <v>35</v>
      </c>
      <c r="C455">
        <v>100</v>
      </c>
      <c r="D455">
        <v>2</v>
      </c>
      <c r="E455" s="5">
        <v>4508</v>
      </c>
      <c r="F455" s="3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s="7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 s="5">
        <v>44</v>
      </c>
      <c r="C456">
        <v>100</v>
      </c>
      <c r="D456">
        <v>6</v>
      </c>
      <c r="E456" s="5">
        <v>5418.16</v>
      </c>
      <c r="F456" s="3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s="7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 s="5">
        <v>22</v>
      </c>
      <c r="C457">
        <v>100</v>
      </c>
      <c r="D457">
        <v>11</v>
      </c>
      <c r="E457" s="5">
        <v>3300.66</v>
      </c>
      <c r="F457" s="3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 s="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 s="5">
        <v>42</v>
      </c>
      <c r="C458">
        <v>100</v>
      </c>
      <c r="D458">
        <v>17</v>
      </c>
      <c r="E458" s="5">
        <v>6182.4</v>
      </c>
      <c r="F458" s="3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 s="7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 s="5">
        <v>29</v>
      </c>
      <c r="C459">
        <v>100</v>
      </c>
      <c r="D459">
        <v>10</v>
      </c>
      <c r="E459" s="5">
        <v>4186.7299999999996</v>
      </c>
      <c r="F459" s="3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s="7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 s="5">
        <v>32</v>
      </c>
      <c r="C460">
        <v>100</v>
      </c>
      <c r="D460">
        <v>1</v>
      </c>
      <c r="E460" s="5">
        <v>4529.28</v>
      </c>
      <c r="F460" s="3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s="7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 s="5">
        <v>41</v>
      </c>
      <c r="C461">
        <v>100</v>
      </c>
      <c r="D461">
        <v>3</v>
      </c>
      <c r="E461" s="5">
        <v>5628.89</v>
      </c>
      <c r="F461" s="3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s="7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 s="5">
        <v>26</v>
      </c>
      <c r="C462">
        <v>100</v>
      </c>
      <c r="D462">
        <v>5</v>
      </c>
      <c r="E462" s="5">
        <v>3054.48</v>
      </c>
      <c r="F462" s="3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s="7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 s="5">
        <v>21</v>
      </c>
      <c r="C463">
        <v>100</v>
      </c>
      <c r="D463">
        <v>6</v>
      </c>
      <c r="E463" s="5">
        <v>2526.5100000000002</v>
      </c>
      <c r="F463" s="3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s="7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 s="5">
        <v>34</v>
      </c>
      <c r="C464">
        <v>100</v>
      </c>
      <c r="D464">
        <v>6</v>
      </c>
      <c r="E464" s="5">
        <v>4667.8599999999997</v>
      </c>
      <c r="F464" s="3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 s="7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 s="5">
        <v>41</v>
      </c>
      <c r="C465">
        <v>100</v>
      </c>
      <c r="D465">
        <v>4</v>
      </c>
      <c r="E465" s="5">
        <v>6499.32</v>
      </c>
      <c r="F465" s="3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s="7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 s="5">
        <v>37</v>
      </c>
      <c r="C466">
        <v>100</v>
      </c>
      <c r="D466">
        <v>8</v>
      </c>
      <c r="E466" s="5">
        <v>5917.78</v>
      </c>
      <c r="F466" s="3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s="7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 s="5">
        <v>37</v>
      </c>
      <c r="C467">
        <v>100</v>
      </c>
      <c r="D467">
        <v>2</v>
      </c>
      <c r="E467" s="5">
        <v>6231.91</v>
      </c>
      <c r="F467" s="3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s="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 s="5">
        <v>41</v>
      </c>
      <c r="C468">
        <v>100</v>
      </c>
      <c r="D468">
        <v>10</v>
      </c>
      <c r="E468" s="5">
        <v>5803.14</v>
      </c>
      <c r="F468" s="3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 s="7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 s="5">
        <v>46</v>
      </c>
      <c r="C469">
        <v>100</v>
      </c>
      <c r="D469">
        <v>6</v>
      </c>
      <c r="E469" s="5">
        <v>6434.02</v>
      </c>
      <c r="F469" s="3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 s="7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 s="5">
        <v>40</v>
      </c>
      <c r="C470">
        <v>100</v>
      </c>
      <c r="D470">
        <v>2</v>
      </c>
      <c r="E470" s="5">
        <v>6454.4</v>
      </c>
      <c r="F470" s="3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s="7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 s="5">
        <v>43</v>
      </c>
      <c r="C471">
        <v>97.6</v>
      </c>
      <c r="D471">
        <v>8</v>
      </c>
      <c r="E471" s="5">
        <v>4196.8</v>
      </c>
      <c r="F471" s="3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s="7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 s="5">
        <v>30</v>
      </c>
      <c r="C472">
        <v>87.06</v>
      </c>
      <c r="D472">
        <v>1</v>
      </c>
      <c r="E472" s="5">
        <v>2611.8000000000002</v>
      </c>
      <c r="F472" s="3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 s="7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 s="5">
        <v>35</v>
      </c>
      <c r="C473">
        <v>100</v>
      </c>
      <c r="D473">
        <v>2</v>
      </c>
      <c r="E473" s="5">
        <v>5895.05</v>
      </c>
      <c r="F473" s="3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s="7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 s="5">
        <v>36</v>
      </c>
      <c r="C474">
        <v>93.77</v>
      </c>
      <c r="D474">
        <v>14</v>
      </c>
      <c r="E474" s="5">
        <v>3375.72</v>
      </c>
      <c r="F474" s="3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 s="7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 s="5">
        <v>61</v>
      </c>
      <c r="C475">
        <v>100</v>
      </c>
      <c r="D475">
        <v>3</v>
      </c>
      <c r="E475" s="5">
        <v>8374.69</v>
      </c>
      <c r="F475" s="3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s="7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 s="5">
        <v>38</v>
      </c>
      <c r="C476">
        <v>100</v>
      </c>
      <c r="D476">
        <v>5</v>
      </c>
      <c r="E476" s="5">
        <v>4464.24</v>
      </c>
      <c r="F476" s="3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s="7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 s="5">
        <v>39</v>
      </c>
      <c r="C477">
        <v>100</v>
      </c>
      <c r="D477">
        <v>2</v>
      </c>
      <c r="E477" s="5">
        <v>4808.3100000000004</v>
      </c>
      <c r="F477" s="3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 s="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 s="5">
        <v>33</v>
      </c>
      <c r="C478">
        <v>99.66</v>
      </c>
      <c r="D478">
        <v>6</v>
      </c>
      <c r="E478" s="5">
        <v>3288.78</v>
      </c>
      <c r="F478" s="3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 s="7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 s="5">
        <v>32</v>
      </c>
      <c r="C479">
        <v>100</v>
      </c>
      <c r="D479">
        <v>1</v>
      </c>
      <c r="E479" s="5">
        <v>3254.72</v>
      </c>
      <c r="F479" s="3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s="7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 s="5">
        <v>31</v>
      </c>
      <c r="C480">
        <v>100</v>
      </c>
      <c r="D480">
        <v>7</v>
      </c>
      <c r="E480" s="5">
        <v>3184.94</v>
      </c>
      <c r="F480" s="3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s="7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 s="5">
        <v>50</v>
      </c>
      <c r="C481">
        <v>100</v>
      </c>
      <c r="D481">
        <v>4</v>
      </c>
      <c r="E481" s="5">
        <v>5907.5</v>
      </c>
      <c r="F481" s="3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 s="7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 s="5">
        <v>48</v>
      </c>
      <c r="C482">
        <v>91.44</v>
      </c>
      <c r="D482">
        <v>2</v>
      </c>
      <c r="E482" s="5">
        <v>4389.12</v>
      </c>
      <c r="F482" s="3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 s="7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 s="5">
        <v>43</v>
      </c>
      <c r="C483">
        <v>100</v>
      </c>
      <c r="D483">
        <v>6</v>
      </c>
      <c r="E483" s="5">
        <v>5036.16</v>
      </c>
      <c r="F483" s="3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s="7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 s="5">
        <v>25</v>
      </c>
      <c r="C484">
        <v>87.33</v>
      </c>
      <c r="D484">
        <v>3</v>
      </c>
      <c r="E484" s="5">
        <v>2183.25</v>
      </c>
      <c r="F484" s="3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 s="7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 s="5">
        <v>28</v>
      </c>
      <c r="C485">
        <v>100</v>
      </c>
      <c r="D485">
        <v>7</v>
      </c>
      <c r="E485" s="5">
        <v>3106.88</v>
      </c>
      <c r="F485" s="3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s="7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 s="5">
        <v>36</v>
      </c>
      <c r="C486">
        <v>100</v>
      </c>
      <c r="D486">
        <v>2</v>
      </c>
      <c r="E486" s="5">
        <v>3735.72</v>
      </c>
      <c r="F486" s="3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s="7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 s="5">
        <v>27</v>
      </c>
      <c r="C487">
        <v>89.38</v>
      </c>
      <c r="D487">
        <v>10</v>
      </c>
      <c r="E487" s="5">
        <v>2413.2600000000002</v>
      </c>
      <c r="F487" s="3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 s="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 s="5">
        <v>25</v>
      </c>
      <c r="C488">
        <v>100</v>
      </c>
      <c r="D488">
        <v>3</v>
      </c>
      <c r="E488" s="5">
        <v>2953.75</v>
      </c>
      <c r="F488" s="3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s="7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 s="5">
        <v>40</v>
      </c>
      <c r="C489">
        <v>100</v>
      </c>
      <c r="D489">
        <v>7</v>
      </c>
      <c r="E489" s="5">
        <v>4684.8</v>
      </c>
      <c r="F489" s="3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s="7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 s="5">
        <v>34</v>
      </c>
      <c r="C490">
        <v>95.55</v>
      </c>
      <c r="D490">
        <v>2</v>
      </c>
      <c r="E490" s="5">
        <v>3248.7</v>
      </c>
      <c r="F490" s="3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s="7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 s="5">
        <v>50</v>
      </c>
      <c r="C491">
        <v>100</v>
      </c>
      <c r="D491">
        <v>9</v>
      </c>
      <c r="E491" s="5">
        <v>5239.5</v>
      </c>
      <c r="F491" s="3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s="7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 s="5">
        <v>38</v>
      </c>
      <c r="C492">
        <v>100</v>
      </c>
      <c r="D492">
        <v>2</v>
      </c>
      <c r="E492" s="5">
        <v>4567.9799999999996</v>
      </c>
      <c r="F492" s="3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s="7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 s="5">
        <v>37</v>
      </c>
      <c r="C493">
        <v>95.55</v>
      </c>
      <c r="D493">
        <v>13</v>
      </c>
      <c r="E493" s="5">
        <v>3535.35</v>
      </c>
      <c r="F493" s="3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s="7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 s="5">
        <v>43</v>
      </c>
      <c r="C494">
        <v>89.38</v>
      </c>
      <c r="D494">
        <v>10</v>
      </c>
      <c r="E494" s="5">
        <v>3843.34</v>
      </c>
      <c r="F494" s="3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 s="7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 s="5">
        <v>43</v>
      </c>
      <c r="C495">
        <v>86.3</v>
      </c>
      <c r="D495">
        <v>14</v>
      </c>
      <c r="E495" s="5">
        <v>3710.9</v>
      </c>
      <c r="F495" s="3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 s="7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 s="5">
        <v>46</v>
      </c>
      <c r="C496">
        <v>95.13</v>
      </c>
      <c r="D496">
        <v>15</v>
      </c>
      <c r="E496" s="5">
        <v>4375.9799999999996</v>
      </c>
      <c r="F496" s="3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s="7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 s="5">
        <v>42</v>
      </c>
      <c r="C497">
        <v>36.11</v>
      </c>
      <c r="D497">
        <v>3</v>
      </c>
      <c r="E497" s="5">
        <v>1516.62</v>
      </c>
      <c r="F497" s="3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 s="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 s="5">
        <v>50</v>
      </c>
      <c r="C498">
        <v>50.18</v>
      </c>
      <c r="D498">
        <v>9</v>
      </c>
      <c r="E498" s="5">
        <v>2509</v>
      </c>
      <c r="F498" s="3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s="7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 s="5">
        <v>44</v>
      </c>
      <c r="C499">
        <v>100</v>
      </c>
      <c r="D499">
        <v>8</v>
      </c>
      <c r="E499" s="5">
        <v>9240.44</v>
      </c>
      <c r="F499" s="3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 s="7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 s="5">
        <v>27</v>
      </c>
      <c r="C500">
        <v>93.16</v>
      </c>
      <c r="D500">
        <v>13</v>
      </c>
      <c r="E500" s="5">
        <v>2515.3200000000002</v>
      </c>
      <c r="F500" s="3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s="7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 s="5">
        <v>35</v>
      </c>
      <c r="C501">
        <v>100</v>
      </c>
      <c r="D501">
        <v>2</v>
      </c>
      <c r="E501" s="5">
        <v>5548.9</v>
      </c>
      <c r="F501" s="3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s="7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 s="5">
        <v>51</v>
      </c>
      <c r="C502">
        <v>95.55</v>
      </c>
      <c r="D502">
        <v>2</v>
      </c>
      <c r="E502" s="5">
        <v>4873.05</v>
      </c>
      <c r="F502" s="3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 s="7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 s="5">
        <v>41</v>
      </c>
      <c r="C503">
        <v>50.14</v>
      </c>
      <c r="D503">
        <v>1</v>
      </c>
      <c r="E503" s="5">
        <v>2055.7399999999998</v>
      </c>
      <c r="F503" s="3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 s="7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 s="5">
        <v>48</v>
      </c>
      <c r="C504">
        <v>49.06</v>
      </c>
      <c r="D504">
        <v>5</v>
      </c>
      <c r="E504" s="5">
        <v>2354.88</v>
      </c>
      <c r="F504" s="3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 s="7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 s="5">
        <v>42</v>
      </c>
      <c r="C505">
        <v>54.99</v>
      </c>
      <c r="D505">
        <v>17</v>
      </c>
      <c r="E505" s="5">
        <v>2309.58</v>
      </c>
      <c r="F505" s="3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s="7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 s="5">
        <v>49</v>
      </c>
      <c r="C506">
        <v>43.13</v>
      </c>
      <c r="D506">
        <v>6</v>
      </c>
      <c r="E506" s="5">
        <v>2113.37</v>
      </c>
      <c r="F506" s="3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s="7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 s="5">
        <v>30</v>
      </c>
      <c r="C507">
        <v>58.22</v>
      </c>
      <c r="D507">
        <v>3</v>
      </c>
      <c r="E507" s="5">
        <v>1746.6</v>
      </c>
      <c r="F507" s="3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 s="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 s="5">
        <v>45</v>
      </c>
      <c r="C508">
        <v>51.21</v>
      </c>
      <c r="D508">
        <v>1</v>
      </c>
      <c r="E508" s="5">
        <v>2304.4499999999998</v>
      </c>
      <c r="F508" s="3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 s="7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 s="5">
        <v>48</v>
      </c>
      <c r="C509">
        <v>44.21</v>
      </c>
      <c r="D509">
        <v>5</v>
      </c>
      <c r="E509" s="5">
        <v>2122.08</v>
      </c>
      <c r="F509" s="3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s="7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 s="5">
        <v>32</v>
      </c>
      <c r="C510">
        <v>54.45</v>
      </c>
      <c r="D510">
        <v>2</v>
      </c>
      <c r="E510" s="5">
        <v>1742.4</v>
      </c>
      <c r="F510" s="3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 s="7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 s="5">
        <v>46</v>
      </c>
      <c r="C511">
        <v>53.37</v>
      </c>
      <c r="D511">
        <v>6</v>
      </c>
      <c r="E511" s="5">
        <v>2455.02</v>
      </c>
      <c r="F511" s="3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s="7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 s="5">
        <v>48</v>
      </c>
      <c r="C512">
        <v>63.61</v>
      </c>
      <c r="D512">
        <v>1</v>
      </c>
      <c r="E512" s="5">
        <v>3053.28</v>
      </c>
      <c r="F512" s="3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s="7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 s="5">
        <v>33</v>
      </c>
      <c r="C513">
        <v>43.13</v>
      </c>
      <c r="D513">
        <v>9</v>
      </c>
      <c r="E513" s="5">
        <v>1423.29</v>
      </c>
      <c r="F513" s="3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 s="7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 s="5">
        <v>31</v>
      </c>
      <c r="C514">
        <v>48.52</v>
      </c>
      <c r="D514">
        <v>2</v>
      </c>
      <c r="E514" s="5">
        <v>1504.12</v>
      </c>
      <c r="F514" s="3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s="7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 s="5">
        <v>20</v>
      </c>
      <c r="C515">
        <v>58.22</v>
      </c>
      <c r="D515">
        <v>6</v>
      </c>
      <c r="E515" s="5">
        <v>1164.4000000000001</v>
      </c>
      <c r="F515" s="3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s="7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 s="5">
        <v>29</v>
      </c>
      <c r="C516">
        <v>51.75</v>
      </c>
      <c r="D516">
        <v>1</v>
      </c>
      <c r="E516" s="5">
        <v>1500.75</v>
      </c>
      <c r="F516" s="3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s="7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 s="5">
        <v>27</v>
      </c>
      <c r="C517">
        <v>57.68</v>
      </c>
      <c r="D517">
        <v>8</v>
      </c>
      <c r="E517" s="5">
        <v>1557.36</v>
      </c>
      <c r="F517" s="3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s="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 s="5">
        <v>24</v>
      </c>
      <c r="C518">
        <v>56.07</v>
      </c>
      <c r="D518">
        <v>1</v>
      </c>
      <c r="E518" s="5">
        <v>1345.68</v>
      </c>
      <c r="F518" s="3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s="7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 s="5">
        <v>37</v>
      </c>
      <c r="C519">
        <v>48.52</v>
      </c>
      <c r="D519">
        <v>12</v>
      </c>
      <c r="E519" s="5">
        <v>1795.24</v>
      </c>
      <c r="F519" s="3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s="7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 s="5">
        <v>25</v>
      </c>
      <c r="C520">
        <v>44.21</v>
      </c>
      <c r="D520">
        <v>9</v>
      </c>
      <c r="E520" s="5">
        <v>1105.25</v>
      </c>
      <c r="F520" s="3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 s="7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 s="5">
        <v>41</v>
      </c>
      <c r="C521">
        <v>57.68</v>
      </c>
      <c r="D521">
        <v>5</v>
      </c>
      <c r="E521" s="5">
        <v>2364.88</v>
      </c>
      <c r="F521" s="3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 s="7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 s="5">
        <v>27</v>
      </c>
      <c r="C522">
        <v>89.89</v>
      </c>
      <c r="D522">
        <v>16</v>
      </c>
      <c r="E522" s="5">
        <v>2427.0300000000002</v>
      </c>
      <c r="F522" s="3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s="7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 s="5">
        <v>21</v>
      </c>
      <c r="C523">
        <v>58.95</v>
      </c>
      <c r="D523">
        <v>7</v>
      </c>
      <c r="E523" s="5">
        <v>1237.95</v>
      </c>
      <c r="F523" s="3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s="7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 s="5">
        <v>22</v>
      </c>
      <c r="C524">
        <v>72.41</v>
      </c>
      <c r="D524">
        <v>6</v>
      </c>
      <c r="E524" s="5">
        <v>1593.02</v>
      </c>
      <c r="F524" s="3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s="7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 s="5">
        <v>32</v>
      </c>
      <c r="C525">
        <v>98.63</v>
      </c>
      <c r="D525">
        <v>7</v>
      </c>
      <c r="E525" s="5">
        <v>3156.16</v>
      </c>
      <c r="F525" s="3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 s="7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 s="5">
        <v>25</v>
      </c>
      <c r="C526">
        <v>52.83</v>
      </c>
      <c r="D526">
        <v>9</v>
      </c>
      <c r="E526" s="5">
        <v>1320.75</v>
      </c>
      <c r="F526" s="3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 s="7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 s="5">
        <v>42</v>
      </c>
      <c r="C527">
        <v>100</v>
      </c>
      <c r="D527">
        <v>3</v>
      </c>
      <c r="E527" s="5">
        <v>4998</v>
      </c>
      <c r="F527" s="3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s="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 s="5">
        <v>25</v>
      </c>
      <c r="C528">
        <v>51.75</v>
      </c>
      <c r="D528">
        <v>1</v>
      </c>
      <c r="E528" s="5">
        <v>1293.75</v>
      </c>
      <c r="F528" s="3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 s="7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 s="5">
        <v>37</v>
      </c>
      <c r="C529">
        <v>100</v>
      </c>
      <c r="D529">
        <v>16</v>
      </c>
      <c r="E529" s="5">
        <v>5433.08</v>
      </c>
      <c r="F529" s="3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s="7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 s="5">
        <v>26</v>
      </c>
      <c r="C530">
        <v>100</v>
      </c>
      <c r="D530">
        <v>2</v>
      </c>
      <c r="E530" s="5">
        <v>3073.72</v>
      </c>
      <c r="F530" s="3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s="7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 s="5">
        <v>44</v>
      </c>
      <c r="C531">
        <v>99.55</v>
      </c>
      <c r="D531">
        <v>2</v>
      </c>
      <c r="E531" s="5">
        <v>4380.2</v>
      </c>
      <c r="F531" s="3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s="7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 s="5">
        <v>47</v>
      </c>
      <c r="C532">
        <v>100</v>
      </c>
      <c r="D532">
        <v>9</v>
      </c>
      <c r="E532" s="5">
        <v>5848.68</v>
      </c>
      <c r="F532" s="3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s="7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 s="5">
        <v>43</v>
      </c>
      <c r="C533">
        <v>100</v>
      </c>
      <c r="D533">
        <v>8</v>
      </c>
      <c r="E533" s="5">
        <v>6153.73</v>
      </c>
      <c r="F533" s="3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s="7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 s="5">
        <v>42</v>
      </c>
      <c r="C534">
        <v>100</v>
      </c>
      <c r="D534">
        <v>6</v>
      </c>
      <c r="E534" s="5">
        <v>4965.24</v>
      </c>
      <c r="F534" s="3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 s="7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 s="5">
        <v>42</v>
      </c>
      <c r="C535">
        <v>100</v>
      </c>
      <c r="D535">
        <v>2</v>
      </c>
      <c r="E535" s="5">
        <v>5435.64</v>
      </c>
      <c r="F535" s="3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s="7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 s="5">
        <v>29</v>
      </c>
      <c r="C536">
        <v>100</v>
      </c>
      <c r="D536">
        <v>7</v>
      </c>
      <c r="E536" s="5">
        <v>4258.3599999999997</v>
      </c>
      <c r="F536" s="3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 s="7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 s="5">
        <v>40</v>
      </c>
      <c r="C537">
        <v>100</v>
      </c>
      <c r="D537">
        <v>13</v>
      </c>
      <c r="E537" s="5">
        <v>4032</v>
      </c>
      <c r="F537" s="3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 s="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 s="5">
        <v>38</v>
      </c>
      <c r="C538">
        <v>100</v>
      </c>
      <c r="D538">
        <v>6</v>
      </c>
      <c r="E538" s="5">
        <v>4492.3599999999997</v>
      </c>
      <c r="F538" s="3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s="7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 s="5">
        <v>38</v>
      </c>
      <c r="C539">
        <v>100</v>
      </c>
      <c r="D539">
        <v>4</v>
      </c>
      <c r="E539" s="5">
        <v>4161.38</v>
      </c>
      <c r="F539" s="3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 s="7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 s="5">
        <v>21</v>
      </c>
      <c r="C540">
        <v>100</v>
      </c>
      <c r="D540">
        <v>11</v>
      </c>
      <c r="E540" s="5">
        <v>2508.66</v>
      </c>
      <c r="F540" s="3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s="7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 s="5">
        <v>24</v>
      </c>
      <c r="C541">
        <v>100</v>
      </c>
      <c r="D541">
        <v>1</v>
      </c>
      <c r="E541" s="5">
        <v>3374.88</v>
      </c>
      <c r="F541" s="3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s="7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 s="5">
        <v>36</v>
      </c>
      <c r="C542">
        <v>100</v>
      </c>
      <c r="D542">
        <v>2</v>
      </c>
      <c r="E542" s="5">
        <v>5196.6000000000004</v>
      </c>
      <c r="F542" s="3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s="7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 s="5">
        <v>23</v>
      </c>
      <c r="C543">
        <v>100</v>
      </c>
      <c r="D543">
        <v>2</v>
      </c>
      <c r="E543" s="5">
        <v>2604.52</v>
      </c>
      <c r="F543" s="3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 s="7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 s="5">
        <v>20</v>
      </c>
      <c r="C544">
        <v>100</v>
      </c>
      <c r="D544">
        <v>14</v>
      </c>
      <c r="E544" s="5">
        <v>2936.8</v>
      </c>
      <c r="F544" s="3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s="7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 s="5">
        <v>32</v>
      </c>
      <c r="C545">
        <v>100</v>
      </c>
      <c r="D545">
        <v>4</v>
      </c>
      <c r="E545" s="5">
        <v>3424.64</v>
      </c>
      <c r="F545" s="3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s="7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 s="5">
        <v>29</v>
      </c>
      <c r="C546">
        <v>100</v>
      </c>
      <c r="D546">
        <v>9</v>
      </c>
      <c r="E546" s="5">
        <v>2923.2</v>
      </c>
      <c r="F546" s="3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s="7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 s="5">
        <v>44</v>
      </c>
      <c r="C547">
        <v>100</v>
      </c>
      <c r="D547">
        <v>6</v>
      </c>
      <c r="E547" s="5">
        <v>4489.76</v>
      </c>
      <c r="F547" s="3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 s="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 s="5">
        <v>44</v>
      </c>
      <c r="C548">
        <v>100</v>
      </c>
      <c r="D548">
        <v>14</v>
      </c>
      <c r="E548" s="5">
        <v>4849.24</v>
      </c>
      <c r="F548" s="3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 s="7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 s="5">
        <v>36</v>
      </c>
      <c r="C549">
        <v>100</v>
      </c>
      <c r="D549">
        <v>4</v>
      </c>
      <c r="E549" s="5">
        <v>5848.92</v>
      </c>
      <c r="F549" s="3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s="7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 s="5">
        <v>49</v>
      </c>
      <c r="C550">
        <v>56.3</v>
      </c>
      <c r="D550">
        <v>1</v>
      </c>
      <c r="E550" s="5">
        <v>2758.7</v>
      </c>
      <c r="F550" s="3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 s="7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 s="5">
        <v>34</v>
      </c>
      <c r="C551">
        <v>42.64</v>
      </c>
      <c r="D551">
        <v>5</v>
      </c>
      <c r="E551" s="5">
        <v>1449.76</v>
      </c>
      <c r="F551" s="3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s="7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 s="5">
        <v>59</v>
      </c>
      <c r="C552">
        <v>100</v>
      </c>
      <c r="D552">
        <v>11</v>
      </c>
      <c r="E552" s="5">
        <v>7048.14</v>
      </c>
      <c r="F552" s="3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 s="7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 s="5">
        <v>37</v>
      </c>
      <c r="C553">
        <v>100</v>
      </c>
      <c r="D553">
        <v>1</v>
      </c>
      <c r="E553" s="5">
        <v>5202.9399999999996</v>
      </c>
      <c r="F553" s="3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s="7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 s="5">
        <v>36</v>
      </c>
      <c r="C554">
        <v>100</v>
      </c>
      <c r="D554">
        <v>12</v>
      </c>
      <c r="E554" s="5">
        <v>5279.4</v>
      </c>
      <c r="F554" s="3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s="7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 s="5">
        <v>43</v>
      </c>
      <c r="C555">
        <v>100</v>
      </c>
      <c r="D555">
        <v>3</v>
      </c>
      <c r="E555" s="5">
        <v>6916.12</v>
      </c>
      <c r="F555" s="3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s="7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 s="5">
        <v>21</v>
      </c>
      <c r="C556">
        <v>100</v>
      </c>
      <c r="D556">
        <v>4</v>
      </c>
      <c r="E556" s="5">
        <v>2781.66</v>
      </c>
      <c r="F556" s="3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 s="7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 s="5">
        <v>32</v>
      </c>
      <c r="C557">
        <v>100</v>
      </c>
      <c r="D557">
        <v>7</v>
      </c>
      <c r="E557" s="5">
        <v>5248</v>
      </c>
      <c r="F557" s="3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 s="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 s="5">
        <v>38</v>
      </c>
      <c r="C558">
        <v>100</v>
      </c>
      <c r="D558">
        <v>5</v>
      </c>
      <c r="E558" s="5">
        <v>6531.44</v>
      </c>
      <c r="F558" s="3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s="7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 s="5">
        <v>43</v>
      </c>
      <c r="C559">
        <v>100</v>
      </c>
      <c r="D559">
        <v>1</v>
      </c>
      <c r="E559" s="5">
        <v>5763.72</v>
      </c>
      <c r="F559" s="3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s="7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 s="5">
        <v>42</v>
      </c>
      <c r="C560">
        <v>100</v>
      </c>
      <c r="D560">
        <v>4</v>
      </c>
      <c r="E560" s="5">
        <v>6490.68</v>
      </c>
      <c r="F560" s="3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s="7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 s="5">
        <v>32</v>
      </c>
      <c r="C561">
        <v>100</v>
      </c>
      <c r="D561">
        <v>1</v>
      </c>
      <c r="E561" s="5">
        <v>6004.8</v>
      </c>
      <c r="F561" s="3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s="7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 s="5">
        <v>42</v>
      </c>
      <c r="C562">
        <v>100</v>
      </c>
      <c r="D562">
        <v>4</v>
      </c>
      <c r="E562" s="5">
        <v>7483.98</v>
      </c>
      <c r="F562" s="3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s="7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 s="5">
        <v>31</v>
      </c>
      <c r="C563">
        <v>100</v>
      </c>
      <c r="D563">
        <v>17</v>
      </c>
      <c r="E563" s="5">
        <v>5719.5</v>
      </c>
      <c r="F563" s="3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s="7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 s="5">
        <v>49</v>
      </c>
      <c r="C564">
        <v>100</v>
      </c>
      <c r="D564">
        <v>4</v>
      </c>
      <c r="E564" s="5">
        <v>6954.08</v>
      </c>
      <c r="F564" s="3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 s="7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 s="5">
        <v>45</v>
      </c>
      <c r="C565">
        <v>100</v>
      </c>
      <c r="D565">
        <v>14</v>
      </c>
      <c r="E565" s="5">
        <v>8160.3</v>
      </c>
      <c r="F565" s="3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 s="7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 s="5">
        <v>49</v>
      </c>
      <c r="C566">
        <v>100</v>
      </c>
      <c r="D566">
        <v>9</v>
      </c>
      <c r="E566" s="5">
        <v>6567.96</v>
      </c>
      <c r="F566" s="3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s="7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 s="5">
        <v>41</v>
      </c>
      <c r="C567">
        <v>100</v>
      </c>
      <c r="D567">
        <v>1</v>
      </c>
      <c r="E567" s="5">
        <v>6724</v>
      </c>
      <c r="F567" s="3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 s="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 s="5">
        <v>45</v>
      </c>
      <c r="C568">
        <v>100</v>
      </c>
      <c r="D568">
        <v>11</v>
      </c>
      <c r="E568" s="5">
        <v>5747.85</v>
      </c>
      <c r="F568" s="3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s="7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 s="5">
        <v>36</v>
      </c>
      <c r="C569">
        <v>100</v>
      </c>
      <c r="D569">
        <v>7</v>
      </c>
      <c r="E569" s="5">
        <v>5676.84</v>
      </c>
      <c r="F569" s="3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s="7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 s="5">
        <v>39</v>
      </c>
      <c r="C570">
        <v>100</v>
      </c>
      <c r="D570">
        <v>1</v>
      </c>
      <c r="E570" s="5">
        <v>7379.97</v>
      </c>
      <c r="F570" s="3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 s="7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 s="5">
        <v>27</v>
      </c>
      <c r="C571">
        <v>100</v>
      </c>
      <c r="D571">
        <v>9</v>
      </c>
      <c r="E571" s="5">
        <v>3704.13</v>
      </c>
      <c r="F571" s="3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s="7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 s="5">
        <v>25</v>
      </c>
      <c r="C572">
        <v>100</v>
      </c>
      <c r="D572">
        <v>6</v>
      </c>
      <c r="E572" s="5">
        <v>2804.75</v>
      </c>
      <c r="F572" s="3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s="7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 s="5">
        <v>41</v>
      </c>
      <c r="C573">
        <v>100</v>
      </c>
      <c r="D573">
        <v>1</v>
      </c>
      <c r="E573" s="5">
        <v>5624.79</v>
      </c>
      <c r="F573" s="3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s="7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 s="5">
        <v>39</v>
      </c>
      <c r="C574">
        <v>99.52</v>
      </c>
      <c r="D574">
        <v>1</v>
      </c>
      <c r="E574" s="5">
        <v>3881.28</v>
      </c>
      <c r="F574" s="3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s="7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 s="5">
        <v>28</v>
      </c>
      <c r="C575">
        <v>57.55</v>
      </c>
      <c r="D575">
        <v>4</v>
      </c>
      <c r="E575" s="5">
        <v>1611.4</v>
      </c>
      <c r="F575" s="3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s="7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 s="5">
        <v>25</v>
      </c>
      <c r="C576">
        <v>54.57</v>
      </c>
      <c r="D576">
        <v>7</v>
      </c>
      <c r="E576" s="5">
        <v>1364.25</v>
      </c>
      <c r="F576" s="3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s="7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 s="5">
        <v>33</v>
      </c>
      <c r="C577">
        <v>100</v>
      </c>
      <c r="D577">
        <v>11</v>
      </c>
      <c r="E577" s="5">
        <v>4215.09</v>
      </c>
      <c r="F577" s="3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s="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 s="5">
        <v>34</v>
      </c>
      <c r="C578">
        <v>100</v>
      </c>
      <c r="D578">
        <v>1</v>
      </c>
      <c r="E578" s="5">
        <v>6433.82</v>
      </c>
      <c r="F578" s="3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 s="7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 s="5">
        <v>24</v>
      </c>
      <c r="C579">
        <v>100</v>
      </c>
      <c r="D579">
        <v>14</v>
      </c>
      <c r="E579" s="5">
        <v>4352.16</v>
      </c>
      <c r="F579" s="3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s="7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 s="5">
        <v>30</v>
      </c>
      <c r="C580">
        <v>100</v>
      </c>
      <c r="D580">
        <v>3</v>
      </c>
      <c r="E580" s="5">
        <v>5151</v>
      </c>
      <c r="F580" s="3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 s="7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 s="5">
        <v>42</v>
      </c>
      <c r="C581">
        <v>100</v>
      </c>
      <c r="D581">
        <v>7</v>
      </c>
      <c r="E581" s="5">
        <v>6069</v>
      </c>
      <c r="F581" s="3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s="7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 s="5">
        <v>21</v>
      </c>
      <c r="C582">
        <v>100</v>
      </c>
      <c r="D582">
        <v>6</v>
      </c>
      <c r="E582" s="5">
        <v>2856</v>
      </c>
      <c r="F582" s="3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 s="7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 s="5">
        <v>34</v>
      </c>
      <c r="C583">
        <v>100</v>
      </c>
      <c r="D583">
        <v>11</v>
      </c>
      <c r="E583" s="5">
        <v>5375.4</v>
      </c>
      <c r="F583" s="3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 s="7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 s="5">
        <v>29</v>
      </c>
      <c r="C584">
        <v>100</v>
      </c>
      <c r="D584">
        <v>9</v>
      </c>
      <c r="E584" s="5">
        <v>5176.5</v>
      </c>
      <c r="F584" s="3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 s="7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 s="5">
        <v>24</v>
      </c>
      <c r="C585">
        <v>100</v>
      </c>
      <c r="D585">
        <v>13</v>
      </c>
      <c r="E585" s="5">
        <v>3508.8</v>
      </c>
      <c r="F585" s="3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s="7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 s="5">
        <v>44</v>
      </c>
      <c r="C586">
        <v>100</v>
      </c>
      <c r="D586">
        <v>10</v>
      </c>
      <c r="E586" s="5">
        <v>7554.8</v>
      </c>
      <c r="F586" s="3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 s="7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 s="5">
        <v>21</v>
      </c>
      <c r="C587">
        <v>100</v>
      </c>
      <c r="D587">
        <v>14</v>
      </c>
      <c r="E587" s="5">
        <v>3141.6</v>
      </c>
      <c r="F587" s="3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s="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 s="5">
        <v>33</v>
      </c>
      <c r="C588">
        <v>100</v>
      </c>
      <c r="D588">
        <v>4</v>
      </c>
      <c r="E588" s="5">
        <v>5890.5</v>
      </c>
      <c r="F588" s="3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 s="7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 s="5">
        <v>30</v>
      </c>
      <c r="C589">
        <v>100</v>
      </c>
      <c r="D589">
        <v>7</v>
      </c>
      <c r="E589" s="5">
        <v>5967</v>
      </c>
      <c r="F589" s="3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s="7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 s="5">
        <v>26</v>
      </c>
      <c r="C590">
        <v>100</v>
      </c>
      <c r="D590">
        <v>10</v>
      </c>
      <c r="E590" s="5">
        <v>3712.8</v>
      </c>
      <c r="F590" s="3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s="7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 s="5">
        <v>41</v>
      </c>
      <c r="C591">
        <v>100</v>
      </c>
      <c r="D591">
        <v>2</v>
      </c>
      <c r="E591" s="5">
        <v>7597.3</v>
      </c>
      <c r="F591" s="3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s="7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 s="5">
        <v>26</v>
      </c>
      <c r="C592">
        <v>100</v>
      </c>
      <c r="D592">
        <v>16</v>
      </c>
      <c r="E592" s="5">
        <v>3668.6</v>
      </c>
      <c r="F592" s="3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s="7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 s="5">
        <v>32</v>
      </c>
      <c r="C593">
        <v>100</v>
      </c>
      <c r="D593">
        <v>5</v>
      </c>
      <c r="E593" s="5">
        <v>5875.2</v>
      </c>
      <c r="F593" s="3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s="7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 s="5">
        <v>43</v>
      </c>
      <c r="C594">
        <v>100</v>
      </c>
      <c r="D594">
        <v>1</v>
      </c>
      <c r="E594" s="5">
        <v>7310</v>
      </c>
      <c r="F594" s="3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s="7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 s="5">
        <v>48</v>
      </c>
      <c r="C595">
        <v>100</v>
      </c>
      <c r="D595">
        <v>17</v>
      </c>
      <c r="E595" s="5">
        <v>8078.4</v>
      </c>
      <c r="F595" s="3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 s="7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 s="5">
        <v>44</v>
      </c>
      <c r="C596">
        <v>74.040000000000006</v>
      </c>
      <c r="D596">
        <v>7</v>
      </c>
      <c r="E596" s="5">
        <v>3257.76</v>
      </c>
      <c r="F596" s="3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 s="7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 s="5">
        <v>45</v>
      </c>
      <c r="C597">
        <v>100</v>
      </c>
      <c r="D597">
        <v>1</v>
      </c>
      <c r="E597" s="5">
        <v>7650</v>
      </c>
      <c r="F597" s="3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s="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 s="5">
        <v>37</v>
      </c>
      <c r="C598">
        <v>100</v>
      </c>
      <c r="D598">
        <v>3</v>
      </c>
      <c r="E598" s="5">
        <v>4703.8100000000004</v>
      </c>
      <c r="F598" s="3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 s="7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 s="5">
        <v>39</v>
      </c>
      <c r="C599">
        <v>100</v>
      </c>
      <c r="D599">
        <v>2</v>
      </c>
      <c r="E599" s="5">
        <v>5399.55</v>
      </c>
      <c r="F599" s="3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s="7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 s="5">
        <v>76</v>
      </c>
      <c r="C600">
        <v>100</v>
      </c>
      <c r="D600">
        <v>2</v>
      </c>
      <c r="E600" s="5">
        <v>14082.8</v>
      </c>
      <c r="F600" s="3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 s="7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 s="5">
        <v>37</v>
      </c>
      <c r="C601">
        <v>100</v>
      </c>
      <c r="D601">
        <v>5</v>
      </c>
      <c r="E601" s="5">
        <v>5283.6</v>
      </c>
      <c r="F601" s="3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s="7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 s="5">
        <v>38</v>
      </c>
      <c r="C602">
        <v>82.39</v>
      </c>
      <c r="D602">
        <v>2</v>
      </c>
      <c r="E602" s="5">
        <v>3130.82</v>
      </c>
      <c r="F602" s="3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s="7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 s="5">
        <v>43</v>
      </c>
      <c r="C603">
        <v>72.38</v>
      </c>
      <c r="D603">
        <v>6</v>
      </c>
      <c r="E603" s="5">
        <v>3112.34</v>
      </c>
      <c r="F603" s="3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s="7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 s="5">
        <v>48</v>
      </c>
      <c r="C604">
        <v>79.31</v>
      </c>
      <c r="D604">
        <v>3</v>
      </c>
      <c r="E604" s="5">
        <v>3806.88</v>
      </c>
      <c r="F604" s="3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 s="7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 s="5">
        <v>26</v>
      </c>
      <c r="C605">
        <v>82.39</v>
      </c>
      <c r="D605">
        <v>3</v>
      </c>
      <c r="E605" s="5">
        <v>2142.14</v>
      </c>
      <c r="F605" s="3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 s="7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 s="5">
        <v>38</v>
      </c>
      <c r="C606">
        <v>88.55</v>
      </c>
      <c r="D606">
        <v>4</v>
      </c>
      <c r="E606" s="5">
        <v>3364.9</v>
      </c>
      <c r="F606" s="3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 s="7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 s="5">
        <v>20</v>
      </c>
      <c r="C607">
        <v>63.14</v>
      </c>
      <c r="D607">
        <v>2</v>
      </c>
      <c r="E607" s="5">
        <v>1262.8</v>
      </c>
      <c r="F607" s="3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s="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 s="5">
        <v>22</v>
      </c>
      <c r="C608">
        <v>73.92</v>
      </c>
      <c r="D608">
        <v>10</v>
      </c>
      <c r="E608" s="5">
        <v>1626.24</v>
      </c>
      <c r="F608" s="3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s="7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 s="5">
        <v>45</v>
      </c>
      <c r="C609">
        <v>90.86</v>
      </c>
      <c r="D609">
        <v>15</v>
      </c>
      <c r="E609" s="5">
        <v>4088.7</v>
      </c>
      <c r="F609" s="3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 s="7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 s="5">
        <v>45</v>
      </c>
      <c r="C610">
        <v>85.47</v>
      </c>
      <c r="D610">
        <v>4</v>
      </c>
      <c r="E610" s="5">
        <v>3846.15</v>
      </c>
      <c r="F610" s="3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s="7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 s="5">
        <v>20</v>
      </c>
      <c r="C611">
        <v>66.989999999999995</v>
      </c>
      <c r="D611">
        <v>14</v>
      </c>
      <c r="E611" s="5">
        <v>1339.8</v>
      </c>
      <c r="F611" s="3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s="7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 s="5">
        <v>47</v>
      </c>
      <c r="C612">
        <v>64.680000000000007</v>
      </c>
      <c r="D612">
        <v>5</v>
      </c>
      <c r="E612" s="5">
        <v>3039.96</v>
      </c>
      <c r="F612" s="3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s="7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 s="5">
        <v>46</v>
      </c>
      <c r="C613">
        <v>73.92</v>
      </c>
      <c r="D613">
        <v>4</v>
      </c>
      <c r="E613" s="5">
        <v>3400.32</v>
      </c>
      <c r="F613" s="3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s="7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 s="5">
        <v>23</v>
      </c>
      <c r="C614">
        <v>83.93</v>
      </c>
      <c r="D614">
        <v>9</v>
      </c>
      <c r="E614" s="5">
        <v>1930.39</v>
      </c>
      <c r="F614" s="3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s="7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 s="5">
        <v>33</v>
      </c>
      <c r="C615">
        <v>74.69</v>
      </c>
      <c r="D615">
        <v>10</v>
      </c>
      <c r="E615" s="5">
        <v>2464.77</v>
      </c>
      <c r="F615" s="3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s="7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 s="5">
        <v>29</v>
      </c>
      <c r="C616">
        <v>90.86</v>
      </c>
      <c r="D616">
        <v>10</v>
      </c>
      <c r="E616" s="5">
        <v>2634.94</v>
      </c>
      <c r="F616" s="3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 s="7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 s="5">
        <v>44</v>
      </c>
      <c r="C617">
        <v>82.39</v>
      </c>
      <c r="D617">
        <v>8</v>
      </c>
      <c r="E617" s="5">
        <v>3625.16</v>
      </c>
      <c r="F617" s="3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s="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 s="5">
        <v>41</v>
      </c>
      <c r="C618">
        <v>92.4</v>
      </c>
      <c r="D618">
        <v>1</v>
      </c>
      <c r="E618" s="5">
        <v>3788.4</v>
      </c>
      <c r="F618" s="3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s="7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 s="5">
        <v>20</v>
      </c>
      <c r="C619">
        <v>91.63</v>
      </c>
      <c r="D619">
        <v>6</v>
      </c>
      <c r="E619" s="5">
        <v>1832.6</v>
      </c>
      <c r="F619" s="3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s="7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 s="5">
        <v>37</v>
      </c>
      <c r="C620">
        <v>78.540000000000006</v>
      </c>
      <c r="D620">
        <v>14</v>
      </c>
      <c r="E620" s="5">
        <v>2905.98</v>
      </c>
      <c r="F620" s="3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 s="7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 s="5">
        <v>29</v>
      </c>
      <c r="C621">
        <v>100</v>
      </c>
      <c r="D621">
        <v>9</v>
      </c>
      <c r="E621" s="5">
        <v>2954.81</v>
      </c>
      <c r="F621" s="3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 s="7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 s="5">
        <v>55</v>
      </c>
      <c r="C622">
        <v>65.45</v>
      </c>
      <c r="D622">
        <v>1</v>
      </c>
      <c r="E622" s="5">
        <v>3599.75</v>
      </c>
      <c r="F622" s="3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s="7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 s="5">
        <v>22</v>
      </c>
      <c r="C623">
        <v>100</v>
      </c>
      <c r="D623">
        <v>7</v>
      </c>
      <c r="E623" s="5">
        <v>3686.54</v>
      </c>
      <c r="F623" s="3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s="7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 s="5">
        <v>31</v>
      </c>
      <c r="C624">
        <v>67.760000000000005</v>
      </c>
      <c r="D624">
        <v>4</v>
      </c>
      <c r="E624" s="5">
        <v>2100.56</v>
      </c>
      <c r="F624" s="3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s="7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 s="5">
        <v>49</v>
      </c>
      <c r="C625">
        <v>79.22</v>
      </c>
      <c r="D625">
        <v>3</v>
      </c>
      <c r="E625" s="5">
        <v>3881.78</v>
      </c>
      <c r="F625" s="3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s="7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 s="5">
        <v>61</v>
      </c>
      <c r="C626">
        <v>73.92</v>
      </c>
      <c r="D626">
        <v>4</v>
      </c>
      <c r="E626" s="5">
        <v>4509.12</v>
      </c>
      <c r="F626" s="3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s="7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 s="5">
        <v>39</v>
      </c>
      <c r="C627">
        <v>83.93</v>
      </c>
      <c r="D627">
        <v>9</v>
      </c>
      <c r="E627" s="5">
        <v>3273.27</v>
      </c>
      <c r="F627" s="3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s="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 s="5">
        <v>38</v>
      </c>
      <c r="C628">
        <v>100</v>
      </c>
      <c r="D628">
        <v>3</v>
      </c>
      <c r="E628" s="5">
        <v>4432.7</v>
      </c>
      <c r="F628" s="3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 s="7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 s="5">
        <v>31</v>
      </c>
      <c r="C629">
        <v>100</v>
      </c>
      <c r="D629">
        <v>1</v>
      </c>
      <c r="E629" s="5">
        <v>4100.99</v>
      </c>
      <c r="F629" s="3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s="7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 s="5">
        <v>36</v>
      </c>
      <c r="C630">
        <v>100</v>
      </c>
      <c r="D630">
        <v>1</v>
      </c>
      <c r="E630" s="5">
        <v>5274.72</v>
      </c>
      <c r="F630" s="3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s="7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 s="5">
        <v>25</v>
      </c>
      <c r="C631">
        <v>100</v>
      </c>
      <c r="D631">
        <v>12</v>
      </c>
      <c r="E631" s="5">
        <v>4232</v>
      </c>
      <c r="F631" s="3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s="7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 s="5">
        <v>48</v>
      </c>
      <c r="C632">
        <v>100</v>
      </c>
      <c r="D632">
        <v>11</v>
      </c>
      <c r="E632" s="5">
        <v>6145.44</v>
      </c>
      <c r="F632" s="3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s="7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 s="5">
        <v>35</v>
      </c>
      <c r="C633">
        <v>100</v>
      </c>
      <c r="D633">
        <v>1</v>
      </c>
      <c r="E633" s="5">
        <v>4680.2</v>
      </c>
      <c r="F633" s="3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s="7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 s="5">
        <v>21</v>
      </c>
      <c r="C634">
        <v>100</v>
      </c>
      <c r="D634">
        <v>5</v>
      </c>
      <c r="E634" s="5">
        <v>3286.08</v>
      </c>
      <c r="F634" s="3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s="7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 s="5">
        <v>47</v>
      </c>
      <c r="C635">
        <v>100</v>
      </c>
      <c r="D635">
        <v>10</v>
      </c>
      <c r="E635" s="5">
        <v>7421.3</v>
      </c>
      <c r="F635" s="3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 s="7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 s="5">
        <v>38</v>
      </c>
      <c r="C636">
        <v>100</v>
      </c>
      <c r="D636">
        <v>16</v>
      </c>
      <c r="E636" s="5">
        <v>6432.64</v>
      </c>
      <c r="F636" s="3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 s="7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 s="5">
        <v>41</v>
      </c>
      <c r="C637">
        <v>100</v>
      </c>
      <c r="D637">
        <v>9</v>
      </c>
      <c r="E637" s="5">
        <v>4840.87</v>
      </c>
      <c r="F637" s="3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s="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 s="5">
        <v>24</v>
      </c>
      <c r="C638">
        <v>100</v>
      </c>
      <c r="D638">
        <v>7</v>
      </c>
      <c r="E638" s="5">
        <v>3892.08</v>
      </c>
      <c r="F638" s="3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 s="7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 s="5">
        <v>37</v>
      </c>
      <c r="C639">
        <v>100</v>
      </c>
      <c r="D639">
        <v>2</v>
      </c>
      <c r="E639" s="5">
        <v>5526.32</v>
      </c>
      <c r="F639" s="3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s="7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 s="5">
        <v>33</v>
      </c>
      <c r="C640">
        <v>100</v>
      </c>
      <c r="D640">
        <v>4</v>
      </c>
      <c r="E640" s="5">
        <v>4459.62</v>
      </c>
      <c r="F640" s="3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s="7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 s="5">
        <v>49</v>
      </c>
      <c r="C641">
        <v>100</v>
      </c>
      <c r="D641">
        <v>5</v>
      </c>
      <c r="E641" s="5">
        <v>6203.4</v>
      </c>
      <c r="F641" s="3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s="7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 s="5">
        <v>29</v>
      </c>
      <c r="C642">
        <v>100</v>
      </c>
      <c r="D642">
        <v>5</v>
      </c>
      <c r="E642" s="5">
        <v>3754.05</v>
      </c>
      <c r="F642" s="3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 s="7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 s="5">
        <v>24</v>
      </c>
      <c r="C643">
        <v>100</v>
      </c>
      <c r="D643">
        <v>3</v>
      </c>
      <c r="E643" s="5">
        <v>3516.48</v>
      </c>
      <c r="F643" s="3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s="7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 s="5">
        <v>47</v>
      </c>
      <c r="C644">
        <v>100</v>
      </c>
      <c r="D644">
        <v>7</v>
      </c>
      <c r="E644" s="5">
        <v>7488.04</v>
      </c>
      <c r="F644" s="3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s="7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 s="5">
        <v>24</v>
      </c>
      <c r="C645">
        <v>100</v>
      </c>
      <c r="D645">
        <v>1</v>
      </c>
      <c r="E645" s="5">
        <v>3448.08</v>
      </c>
      <c r="F645" s="3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s="7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 s="5">
        <v>25</v>
      </c>
      <c r="C646">
        <v>100</v>
      </c>
      <c r="D646">
        <v>9</v>
      </c>
      <c r="E646" s="5">
        <v>3734</v>
      </c>
      <c r="F646" s="3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 s="7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 s="5">
        <v>30</v>
      </c>
      <c r="C647">
        <v>32.47</v>
      </c>
      <c r="D647">
        <v>8</v>
      </c>
      <c r="E647" s="5">
        <v>974.1</v>
      </c>
      <c r="F647" s="3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 s="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 s="5">
        <v>22</v>
      </c>
      <c r="C648">
        <v>100</v>
      </c>
      <c r="D648">
        <v>3</v>
      </c>
      <c r="E648" s="5">
        <v>3160.74</v>
      </c>
      <c r="F648" s="3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s="7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 s="5">
        <v>27</v>
      </c>
      <c r="C649">
        <v>64.69</v>
      </c>
      <c r="D649">
        <v>2</v>
      </c>
      <c r="E649" s="5">
        <v>1746.63</v>
      </c>
      <c r="F649" s="3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s="7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 s="5">
        <v>34</v>
      </c>
      <c r="C650">
        <v>100</v>
      </c>
      <c r="D650">
        <v>3</v>
      </c>
      <c r="E650" s="5">
        <v>4207.84</v>
      </c>
      <c r="F650" s="3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s="7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 s="5">
        <v>36</v>
      </c>
      <c r="C651">
        <v>100</v>
      </c>
      <c r="D651">
        <v>6</v>
      </c>
      <c r="E651" s="5">
        <v>4352.76</v>
      </c>
      <c r="F651" s="3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s="7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 s="5">
        <v>34</v>
      </c>
      <c r="C652">
        <v>43.05</v>
      </c>
      <c r="D652">
        <v>15</v>
      </c>
      <c r="E652" s="5">
        <v>1463.7</v>
      </c>
      <c r="F652" s="3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 s="7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 s="5">
        <v>48</v>
      </c>
      <c r="C653">
        <v>100</v>
      </c>
      <c r="D653">
        <v>2</v>
      </c>
      <c r="E653" s="5">
        <v>7169.28</v>
      </c>
      <c r="F653" s="3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s="7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 s="5">
        <v>34</v>
      </c>
      <c r="C654">
        <v>100</v>
      </c>
      <c r="D654">
        <v>4</v>
      </c>
      <c r="E654" s="5">
        <v>4594.76</v>
      </c>
      <c r="F654" s="3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s="7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 s="5">
        <v>24</v>
      </c>
      <c r="C655">
        <v>100</v>
      </c>
      <c r="D655">
        <v>8</v>
      </c>
      <c r="E655" s="5">
        <v>3457.92</v>
      </c>
      <c r="F655" s="3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s="7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 s="5">
        <v>46</v>
      </c>
      <c r="C656">
        <v>100</v>
      </c>
      <c r="D656">
        <v>4</v>
      </c>
      <c r="E656" s="5">
        <v>7381.16</v>
      </c>
      <c r="F656" s="3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 s="7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 s="5">
        <v>45</v>
      </c>
      <c r="C657">
        <v>100</v>
      </c>
      <c r="D657">
        <v>10</v>
      </c>
      <c r="E657" s="5">
        <v>7146.9</v>
      </c>
      <c r="F657" s="3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 s="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 s="5">
        <v>39</v>
      </c>
      <c r="C658">
        <v>100</v>
      </c>
      <c r="D658">
        <v>4</v>
      </c>
      <c r="E658" s="5">
        <v>5938.53</v>
      </c>
      <c r="F658" s="3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s="7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 s="5">
        <v>43</v>
      </c>
      <c r="C659">
        <v>100</v>
      </c>
      <c r="D659">
        <v>2</v>
      </c>
      <c r="E659" s="5">
        <v>7110.91</v>
      </c>
      <c r="F659" s="3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s="7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 s="5">
        <v>29</v>
      </c>
      <c r="C660">
        <v>100</v>
      </c>
      <c r="D660">
        <v>11</v>
      </c>
      <c r="E660" s="5">
        <v>5032.95</v>
      </c>
      <c r="F660" s="3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s="7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 s="5">
        <v>20</v>
      </c>
      <c r="C661">
        <v>100</v>
      </c>
      <c r="D661">
        <v>10</v>
      </c>
      <c r="E661" s="5">
        <v>3667.6</v>
      </c>
      <c r="F661" s="3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s="7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 s="5">
        <v>46</v>
      </c>
      <c r="C662">
        <v>100</v>
      </c>
      <c r="D662">
        <v>5</v>
      </c>
      <c r="E662" s="5">
        <v>7381.16</v>
      </c>
      <c r="F662" s="3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s="7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 s="5">
        <v>27</v>
      </c>
      <c r="C663">
        <v>100</v>
      </c>
      <c r="D663">
        <v>5</v>
      </c>
      <c r="E663" s="5">
        <v>5128.1099999999997</v>
      </c>
      <c r="F663" s="3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 s="7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 s="5">
        <v>44</v>
      </c>
      <c r="C664">
        <v>100</v>
      </c>
      <c r="D664">
        <v>6</v>
      </c>
      <c r="E664" s="5">
        <v>7060.24</v>
      </c>
      <c r="F664" s="3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 s="7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 s="5">
        <v>43</v>
      </c>
      <c r="C665">
        <v>100</v>
      </c>
      <c r="D665">
        <v>1</v>
      </c>
      <c r="E665" s="5">
        <v>8448.64</v>
      </c>
      <c r="F665" s="3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 s="7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 s="5">
        <v>49</v>
      </c>
      <c r="C666">
        <v>100</v>
      </c>
      <c r="D666">
        <v>8</v>
      </c>
      <c r="E666" s="5">
        <v>7300.51</v>
      </c>
      <c r="F666" s="3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s="7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 s="5">
        <v>40</v>
      </c>
      <c r="C667">
        <v>100</v>
      </c>
      <c r="D667">
        <v>4</v>
      </c>
      <c r="E667" s="5">
        <v>6549.2</v>
      </c>
      <c r="F667" s="3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s="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 s="5">
        <v>30</v>
      </c>
      <c r="C668">
        <v>100</v>
      </c>
      <c r="D668">
        <v>3</v>
      </c>
      <c r="E668" s="5">
        <v>5697.9</v>
      </c>
      <c r="F668" s="3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s="7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 s="5">
        <v>50</v>
      </c>
      <c r="C669">
        <v>100</v>
      </c>
      <c r="D669">
        <v>4</v>
      </c>
      <c r="E669" s="5">
        <v>9169</v>
      </c>
      <c r="F669" s="3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 s="7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 s="5">
        <v>23</v>
      </c>
      <c r="C670">
        <v>100</v>
      </c>
      <c r="D670">
        <v>13</v>
      </c>
      <c r="E670" s="5">
        <v>3238.63</v>
      </c>
      <c r="F670" s="3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 s="7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 s="5">
        <v>26</v>
      </c>
      <c r="C671">
        <v>100</v>
      </c>
      <c r="D671">
        <v>7</v>
      </c>
      <c r="E671" s="5">
        <v>4554.9399999999996</v>
      </c>
      <c r="F671" s="3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 s="7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 s="5">
        <v>27</v>
      </c>
      <c r="C672">
        <v>100</v>
      </c>
      <c r="D672">
        <v>4</v>
      </c>
      <c r="E672" s="5">
        <v>3934.44</v>
      </c>
      <c r="F672" s="3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 s="7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 s="5">
        <v>42</v>
      </c>
      <c r="C673">
        <v>100</v>
      </c>
      <c r="D673">
        <v>13</v>
      </c>
      <c r="E673" s="5">
        <v>5776.26</v>
      </c>
      <c r="F673" s="3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s="7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 s="5">
        <v>47</v>
      </c>
      <c r="C674">
        <v>100</v>
      </c>
      <c r="D674">
        <v>8</v>
      </c>
      <c r="E674" s="5">
        <v>7207.45</v>
      </c>
      <c r="F674" s="3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 s="7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 s="5">
        <v>49</v>
      </c>
      <c r="C675">
        <v>100</v>
      </c>
      <c r="D675">
        <v>6</v>
      </c>
      <c r="E675" s="5">
        <v>7460.74</v>
      </c>
      <c r="F675" s="3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s="7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 s="5">
        <v>38</v>
      </c>
      <c r="C676">
        <v>100</v>
      </c>
      <c r="D676">
        <v>8</v>
      </c>
      <c r="E676" s="5">
        <v>6719.54</v>
      </c>
      <c r="F676" s="3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 s="7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 s="5">
        <v>20</v>
      </c>
      <c r="C677">
        <v>100</v>
      </c>
      <c r="D677">
        <v>10</v>
      </c>
      <c r="E677" s="5">
        <v>2428</v>
      </c>
      <c r="F677" s="3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s="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 s="5">
        <v>25</v>
      </c>
      <c r="C678">
        <v>100</v>
      </c>
      <c r="D678">
        <v>7</v>
      </c>
      <c r="E678" s="5">
        <v>2602.25</v>
      </c>
      <c r="F678" s="3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 s="7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 s="5">
        <v>25</v>
      </c>
      <c r="C679">
        <v>88</v>
      </c>
      <c r="D679">
        <v>5</v>
      </c>
      <c r="E679" s="5">
        <v>2200</v>
      </c>
      <c r="F679" s="3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 s="7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 s="5">
        <v>41</v>
      </c>
      <c r="C680">
        <v>100</v>
      </c>
      <c r="D680">
        <v>4</v>
      </c>
      <c r="E680" s="5">
        <v>6712.93</v>
      </c>
      <c r="F680" s="3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s="7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 s="5">
        <v>28</v>
      </c>
      <c r="C681">
        <v>100</v>
      </c>
      <c r="D681">
        <v>3</v>
      </c>
      <c r="E681" s="5">
        <v>5318.04</v>
      </c>
      <c r="F681" s="3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s="7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 s="5">
        <v>50</v>
      </c>
      <c r="C682">
        <v>67.8</v>
      </c>
      <c r="D682">
        <v>2</v>
      </c>
      <c r="E682" s="5">
        <v>3390</v>
      </c>
      <c r="F682" s="3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 s="7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 s="5">
        <v>32</v>
      </c>
      <c r="C683">
        <v>50.25</v>
      </c>
      <c r="D683">
        <v>6</v>
      </c>
      <c r="E683" s="5">
        <v>1608</v>
      </c>
      <c r="F683" s="3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s="7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 s="5">
        <v>42</v>
      </c>
      <c r="C684">
        <v>53.88</v>
      </c>
      <c r="D684">
        <v>5</v>
      </c>
      <c r="E684" s="5">
        <v>2262.96</v>
      </c>
      <c r="F684" s="3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 s="7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 s="5">
        <v>24</v>
      </c>
      <c r="C685">
        <v>62.36</v>
      </c>
      <c r="D685">
        <v>10</v>
      </c>
      <c r="E685" s="5">
        <v>1496.64</v>
      </c>
      <c r="F685" s="3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 s="7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 s="5">
        <v>27</v>
      </c>
      <c r="C686">
        <v>69.62</v>
      </c>
      <c r="D686">
        <v>8</v>
      </c>
      <c r="E686" s="5">
        <v>1879.74</v>
      </c>
      <c r="F686" s="3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 s="7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 s="5">
        <v>26</v>
      </c>
      <c r="C687">
        <v>57.51</v>
      </c>
      <c r="D687">
        <v>12</v>
      </c>
      <c r="E687" s="5">
        <v>1495.26</v>
      </c>
      <c r="F687" s="3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s="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 s="5">
        <v>38</v>
      </c>
      <c r="C688">
        <v>61.15</v>
      </c>
      <c r="D688">
        <v>9</v>
      </c>
      <c r="E688" s="5">
        <v>2323.6999999999998</v>
      </c>
      <c r="F688" s="3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 s="7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 s="5">
        <v>42</v>
      </c>
      <c r="C689">
        <v>59.33</v>
      </c>
      <c r="D689">
        <v>13</v>
      </c>
      <c r="E689" s="5">
        <v>2491.86</v>
      </c>
      <c r="F689" s="3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s="7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 s="5">
        <v>23</v>
      </c>
      <c r="C690">
        <v>71.44</v>
      </c>
      <c r="D690">
        <v>3</v>
      </c>
      <c r="E690" s="5">
        <v>1643.12</v>
      </c>
      <c r="F690" s="3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 s="7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 s="5">
        <v>21</v>
      </c>
      <c r="C691">
        <v>62.96</v>
      </c>
      <c r="D691">
        <v>6</v>
      </c>
      <c r="E691" s="5">
        <v>1322.16</v>
      </c>
      <c r="F691" s="3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s="7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 s="5">
        <v>28</v>
      </c>
      <c r="C692">
        <v>50.85</v>
      </c>
      <c r="D692">
        <v>9</v>
      </c>
      <c r="E692" s="5">
        <v>1423.8</v>
      </c>
      <c r="F692" s="3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s="7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 s="5">
        <v>33</v>
      </c>
      <c r="C693">
        <v>72.650000000000006</v>
      </c>
      <c r="D693">
        <v>1</v>
      </c>
      <c r="E693" s="5">
        <v>2397.4499999999998</v>
      </c>
      <c r="F693" s="3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s="7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 s="5">
        <v>25</v>
      </c>
      <c r="C694">
        <v>62.96</v>
      </c>
      <c r="D694">
        <v>15</v>
      </c>
      <c r="E694" s="5">
        <v>1574</v>
      </c>
      <c r="F694" s="3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s="7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 s="5">
        <v>28</v>
      </c>
      <c r="C695">
        <v>61.75</v>
      </c>
      <c r="D695">
        <v>4</v>
      </c>
      <c r="E695" s="5">
        <v>1729</v>
      </c>
      <c r="F695" s="3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s="7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 s="5">
        <v>46</v>
      </c>
      <c r="C696">
        <v>49.04</v>
      </c>
      <c r="D696">
        <v>2</v>
      </c>
      <c r="E696" s="5">
        <v>2255.84</v>
      </c>
      <c r="F696" s="3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s="7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 s="5">
        <v>30</v>
      </c>
      <c r="C697">
        <v>61.15</v>
      </c>
      <c r="D697">
        <v>16</v>
      </c>
      <c r="E697" s="5">
        <v>1834.5</v>
      </c>
      <c r="F697" s="3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 s="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 s="5">
        <v>38</v>
      </c>
      <c r="C698">
        <v>84.25</v>
      </c>
      <c r="D698">
        <v>9</v>
      </c>
      <c r="E698" s="5">
        <v>3201.5</v>
      </c>
      <c r="F698" s="3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s="7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 s="5">
        <v>40</v>
      </c>
      <c r="C699">
        <v>56.91</v>
      </c>
      <c r="D699">
        <v>2</v>
      </c>
      <c r="E699" s="5">
        <v>2276.4</v>
      </c>
      <c r="F699" s="3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s="7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 s="5">
        <v>45</v>
      </c>
      <c r="C700">
        <v>100</v>
      </c>
      <c r="D700">
        <v>4</v>
      </c>
      <c r="E700" s="5">
        <v>8884.7999999999993</v>
      </c>
      <c r="F700" s="3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 s="7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 s="5">
        <v>27</v>
      </c>
      <c r="C701">
        <v>49.3</v>
      </c>
      <c r="D701">
        <v>1</v>
      </c>
      <c r="E701" s="5">
        <v>1331.1</v>
      </c>
      <c r="F701" s="3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s="7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 s="5">
        <v>42</v>
      </c>
      <c r="C702">
        <v>72.650000000000006</v>
      </c>
      <c r="D702">
        <v>1</v>
      </c>
      <c r="E702" s="5">
        <v>3051.3</v>
      </c>
      <c r="F702" s="3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 s="7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 s="5">
        <v>36</v>
      </c>
      <c r="C703">
        <v>63.57</v>
      </c>
      <c r="D703">
        <v>4</v>
      </c>
      <c r="E703" s="5">
        <v>2288.52</v>
      </c>
      <c r="F703" s="3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s="7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 s="5">
        <v>29</v>
      </c>
      <c r="C704">
        <v>100</v>
      </c>
      <c r="D704">
        <v>12</v>
      </c>
      <c r="E704" s="5">
        <v>3772.61</v>
      </c>
      <c r="F704" s="3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s="7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 s="5">
        <v>39</v>
      </c>
      <c r="C705">
        <v>100</v>
      </c>
      <c r="D705">
        <v>3</v>
      </c>
      <c r="E705" s="5">
        <v>4164.42</v>
      </c>
      <c r="F705" s="3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s="7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 s="5">
        <v>45</v>
      </c>
      <c r="C706">
        <v>100</v>
      </c>
      <c r="D706">
        <v>14</v>
      </c>
      <c r="E706" s="5">
        <v>6295.95</v>
      </c>
      <c r="F706" s="3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 s="7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 s="5">
        <v>47</v>
      </c>
      <c r="C707">
        <v>100</v>
      </c>
      <c r="D707">
        <v>8</v>
      </c>
      <c r="E707" s="5">
        <v>6287.66</v>
      </c>
      <c r="F707" s="3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s="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 s="5">
        <v>49</v>
      </c>
      <c r="C708">
        <v>100</v>
      </c>
      <c r="D708">
        <v>6</v>
      </c>
      <c r="E708" s="5">
        <v>5412.54</v>
      </c>
      <c r="F708" s="3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s="7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 s="5">
        <v>46</v>
      </c>
      <c r="C709">
        <v>100</v>
      </c>
      <c r="D709">
        <v>15</v>
      </c>
      <c r="E709" s="5">
        <v>5984.14</v>
      </c>
      <c r="F709" s="3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s="7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 s="5">
        <v>48</v>
      </c>
      <c r="C710">
        <v>100</v>
      </c>
      <c r="D710">
        <v>4</v>
      </c>
      <c r="E710" s="5">
        <v>5891.04</v>
      </c>
      <c r="F710" s="3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s="7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 s="5">
        <v>46</v>
      </c>
      <c r="C711">
        <v>100</v>
      </c>
      <c r="D711">
        <v>9</v>
      </c>
      <c r="E711" s="5">
        <v>5984.14</v>
      </c>
      <c r="F711" s="3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s="7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 s="5">
        <v>35</v>
      </c>
      <c r="C712">
        <v>100</v>
      </c>
      <c r="D712">
        <v>9</v>
      </c>
      <c r="E712" s="5">
        <v>3608.15</v>
      </c>
      <c r="F712" s="3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 s="7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 s="5">
        <v>43</v>
      </c>
      <c r="C713">
        <v>100</v>
      </c>
      <c r="D713">
        <v>10</v>
      </c>
      <c r="E713" s="5">
        <v>5752.54</v>
      </c>
      <c r="F713" s="3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 s="7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 s="5">
        <v>26</v>
      </c>
      <c r="C714">
        <v>100</v>
      </c>
      <c r="D714">
        <v>4</v>
      </c>
      <c r="E714" s="5">
        <v>3765.32</v>
      </c>
      <c r="F714" s="3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 s="7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 s="5">
        <v>22</v>
      </c>
      <c r="C715">
        <v>98.18</v>
      </c>
      <c r="D715">
        <v>8</v>
      </c>
      <c r="E715" s="5">
        <v>2159.96</v>
      </c>
      <c r="F715" s="3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s="7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 s="5">
        <v>34</v>
      </c>
      <c r="C716">
        <v>99.41</v>
      </c>
      <c r="D716">
        <v>7</v>
      </c>
      <c r="E716" s="5">
        <v>3379.94</v>
      </c>
      <c r="F716" s="3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s="7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 s="5">
        <v>50</v>
      </c>
      <c r="C717">
        <v>100</v>
      </c>
      <c r="D717">
        <v>8</v>
      </c>
      <c r="E717" s="5">
        <v>5093.5</v>
      </c>
      <c r="F717" s="3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 s="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 s="5">
        <v>48</v>
      </c>
      <c r="C718">
        <v>100</v>
      </c>
      <c r="D718">
        <v>4</v>
      </c>
      <c r="E718" s="5">
        <v>5773.44</v>
      </c>
      <c r="F718" s="3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 s="7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 s="5">
        <v>41</v>
      </c>
      <c r="C719">
        <v>100</v>
      </c>
      <c r="D719">
        <v>11</v>
      </c>
      <c r="E719" s="5">
        <v>4528.8599999999997</v>
      </c>
      <c r="F719" s="3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 s="7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 s="5">
        <v>36</v>
      </c>
      <c r="C720">
        <v>100</v>
      </c>
      <c r="D720">
        <v>8</v>
      </c>
      <c r="E720" s="5">
        <v>4816.08</v>
      </c>
      <c r="F720" s="3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 s="7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 s="5">
        <v>29</v>
      </c>
      <c r="C721">
        <v>100</v>
      </c>
      <c r="D721">
        <v>2</v>
      </c>
      <c r="E721" s="5">
        <v>3416.78</v>
      </c>
      <c r="F721" s="3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s="7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 s="5">
        <v>33</v>
      </c>
      <c r="C722">
        <v>37.479999999999997</v>
      </c>
      <c r="D722">
        <v>10</v>
      </c>
      <c r="E722" s="5">
        <v>1236.8399999999999</v>
      </c>
      <c r="F722" s="3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 s="7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 s="5">
        <v>46</v>
      </c>
      <c r="C723">
        <v>100</v>
      </c>
      <c r="D723">
        <v>6</v>
      </c>
      <c r="E723" s="5">
        <v>5814.86</v>
      </c>
      <c r="F723" s="3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s="7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 s="5">
        <v>38</v>
      </c>
      <c r="C724">
        <v>100</v>
      </c>
      <c r="D724">
        <v>7</v>
      </c>
      <c r="E724" s="5">
        <v>5223.4799999999996</v>
      </c>
      <c r="F724" s="3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 s="7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 s="5">
        <v>20</v>
      </c>
      <c r="C725">
        <v>36.42</v>
      </c>
      <c r="D725">
        <v>11</v>
      </c>
      <c r="E725" s="5">
        <v>728.4</v>
      </c>
      <c r="F725" s="3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s="7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 s="5">
        <v>22</v>
      </c>
      <c r="C726">
        <v>100</v>
      </c>
      <c r="D726">
        <v>5</v>
      </c>
      <c r="E726" s="5">
        <v>3949</v>
      </c>
      <c r="F726" s="3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s="7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 s="5">
        <v>27</v>
      </c>
      <c r="C727">
        <v>100</v>
      </c>
      <c r="D727">
        <v>11</v>
      </c>
      <c r="E727" s="5">
        <v>3843.99</v>
      </c>
      <c r="F727" s="3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s="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 s="5">
        <v>56</v>
      </c>
      <c r="C728">
        <v>98.18</v>
      </c>
      <c r="D728">
        <v>8</v>
      </c>
      <c r="E728" s="5">
        <v>5498.08</v>
      </c>
      <c r="F728" s="3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s="7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 s="5">
        <v>38</v>
      </c>
      <c r="C729">
        <v>99.41</v>
      </c>
      <c r="D729">
        <v>7</v>
      </c>
      <c r="E729" s="5">
        <v>3777.58</v>
      </c>
      <c r="F729" s="3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s="7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 s="5">
        <v>25</v>
      </c>
      <c r="C730">
        <v>100</v>
      </c>
      <c r="D730">
        <v>4</v>
      </c>
      <c r="E730" s="5">
        <v>3782</v>
      </c>
      <c r="F730" s="3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s="7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 s="5">
        <v>33</v>
      </c>
      <c r="C731">
        <v>100</v>
      </c>
      <c r="D731">
        <v>4</v>
      </c>
      <c r="E731" s="5">
        <v>3859.68</v>
      </c>
      <c r="F731" s="3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s="7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 s="5">
        <v>42</v>
      </c>
      <c r="C732">
        <v>100</v>
      </c>
      <c r="D732">
        <v>3</v>
      </c>
      <c r="E732" s="5">
        <v>4431.84</v>
      </c>
      <c r="F732" s="3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 s="7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 s="5">
        <v>33</v>
      </c>
      <c r="C733">
        <v>100</v>
      </c>
      <c r="D733">
        <v>8</v>
      </c>
      <c r="E733" s="5">
        <v>4950.33</v>
      </c>
      <c r="F733" s="3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 s="7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 s="5">
        <v>38</v>
      </c>
      <c r="C734">
        <v>100</v>
      </c>
      <c r="D734">
        <v>6</v>
      </c>
      <c r="E734" s="5">
        <v>4299.7</v>
      </c>
      <c r="F734" s="3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 s="7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 s="5">
        <v>31</v>
      </c>
      <c r="C735">
        <v>100</v>
      </c>
      <c r="D735">
        <v>10</v>
      </c>
      <c r="E735" s="5">
        <v>4492.83</v>
      </c>
      <c r="F735" s="3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s="7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 s="5">
        <v>20</v>
      </c>
      <c r="C736">
        <v>100</v>
      </c>
      <c r="D736">
        <v>7</v>
      </c>
      <c r="E736" s="5">
        <v>2212</v>
      </c>
      <c r="F736" s="3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 s="7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 s="5">
        <v>44</v>
      </c>
      <c r="C737">
        <v>100</v>
      </c>
      <c r="D737">
        <v>11</v>
      </c>
      <c r="E737" s="5">
        <v>4642.88</v>
      </c>
      <c r="F737" s="3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s="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 s="5">
        <v>26</v>
      </c>
      <c r="C738">
        <v>100</v>
      </c>
      <c r="D738">
        <v>1</v>
      </c>
      <c r="E738" s="5">
        <v>3206.32</v>
      </c>
      <c r="F738" s="3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 s="7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 s="5">
        <v>27</v>
      </c>
      <c r="C739">
        <v>100</v>
      </c>
      <c r="D739">
        <v>4</v>
      </c>
      <c r="E739" s="5">
        <v>3604.23</v>
      </c>
      <c r="F739" s="3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s="7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 s="5">
        <v>46</v>
      </c>
      <c r="C740">
        <v>100</v>
      </c>
      <c r="D740">
        <v>7</v>
      </c>
      <c r="E740" s="5">
        <v>7017.76</v>
      </c>
      <c r="F740" s="3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s="7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 s="5">
        <v>47</v>
      </c>
      <c r="C741">
        <v>100</v>
      </c>
      <c r="D741">
        <v>2</v>
      </c>
      <c r="E741" s="5">
        <v>6154.18</v>
      </c>
      <c r="F741" s="3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 s="7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 s="5">
        <v>37</v>
      </c>
      <c r="C742">
        <v>100</v>
      </c>
      <c r="D742">
        <v>13</v>
      </c>
      <c r="E742" s="5">
        <v>4750.8</v>
      </c>
      <c r="F742" s="3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s="7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 s="5">
        <v>31</v>
      </c>
      <c r="C743">
        <v>100</v>
      </c>
      <c r="D743">
        <v>2</v>
      </c>
      <c r="E743" s="5">
        <v>3822.92</v>
      </c>
      <c r="F743" s="3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s="7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 s="5">
        <v>24</v>
      </c>
      <c r="C744">
        <v>100</v>
      </c>
      <c r="D744">
        <v>17</v>
      </c>
      <c r="E744" s="5">
        <v>2440.8000000000002</v>
      </c>
      <c r="F744" s="3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s="7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 s="5">
        <v>31</v>
      </c>
      <c r="C745">
        <v>100</v>
      </c>
      <c r="D745">
        <v>14</v>
      </c>
      <c r="E745" s="5">
        <v>4729.3599999999997</v>
      </c>
      <c r="F745" s="3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 s="7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 s="5">
        <v>50</v>
      </c>
      <c r="C746">
        <v>100</v>
      </c>
      <c r="D746">
        <v>6</v>
      </c>
      <c r="E746" s="5">
        <v>12536.5</v>
      </c>
      <c r="F746" s="3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 s="7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 s="5">
        <v>35</v>
      </c>
      <c r="C747">
        <v>64.69</v>
      </c>
      <c r="D747">
        <v>8</v>
      </c>
      <c r="E747" s="5">
        <v>2264.15</v>
      </c>
      <c r="F747" s="3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s="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 s="5">
        <v>30</v>
      </c>
      <c r="C748">
        <v>100</v>
      </c>
      <c r="D748">
        <v>3</v>
      </c>
      <c r="E748" s="5">
        <v>3928.2</v>
      </c>
      <c r="F748" s="3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s="7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 s="5">
        <v>29</v>
      </c>
      <c r="C749">
        <v>100</v>
      </c>
      <c r="D749">
        <v>3</v>
      </c>
      <c r="E749" s="5">
        <v>3630.22</v>
      </c>
      <c r="F749" s="3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s="7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 s="5">
        <v>27</v>
      </c>
      <c r="C750">
        <v>100</v>
      </c>
      <c r="D750">
        <v>5</v>
      </c>
      <c r="E750" s="5">
        <v>4196.07</v>
      </c>
      <c r="F750" s="3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 s="7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 s="5">
        <v>40</v>
      </c>
      <c r="C751">
        <v>100</v>
      </c>
      <c r="D751">
        <v>10</v>
      </c>
      <c r="E751" s="5">
        <v>4931.6000000000004</v>
      </c>
      <c r="F751" s="3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s="7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 s="5">
        <v>31</v>
      </c>
      <c r="C752">
        <v>98.99</v>
      </c>
      <c r="D752">
        <v>16</v>
      </c>
      <c r="E752" s="5">
        <v>3068.69</v>
      </c>
      <c r="F752" s="3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 s="7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 s="5">
        <v>6</v>
      </c>
      <c r="C753">
        <v>100</v>
      </c>
      <c r="D753">
        <v>2</v>
      </c>
      <c r="E753" s="5">
        <v>785.64</v>
      </c>
      <c r="F753" s="3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s="7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 s="5">
        <v>45</v>
      </c>
      <c r="C754">
        <v>100</v>
      </c>
      <c r="D754">
        <v>2</v>
      </c>
      <c r="E754" s="5">
        <v>4977</v>
      </c>
      <c r="F754" s="3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s="7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 s="5">
        <v>22</v>
      </c>
      <c r="C755">
        <v>54.09</v>
      </c>
      <c r="D755">
        <v>2</v>
      </c>
      <c r="E755" s="5">
        <v>1189.98</v>
      </c>
      <c r="F755" s="3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s="7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 s="5">
        <v>45</v>
      </c>
      <c r="C756">
        <v>68.67</v>
      </c>
      <c r="D756">
        <v>6</v>
      </c>
      <c r="E756" s="5">
        <v>3090.15</v>
      </c>
      <c r="F756" s="3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s="7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 s="5">
        <v>43</v>
      </c>
      <c r="C757">
        <v>65.02</v>
      </c>
      <c r="D757">
        <v>2</v>
      </c>
      <c r="E757" s="5">
        <v>2795.86</v>
      </c>
      <c r="F757" s="3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s="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 s="5">
        <v>46</v>
      </c>
      <c r="C758">
        <v>61.99</v>
      </c>
      <c r="D758">
        <v>2</v>
      </c>
      <c r="E758" s="5">
        <v>2851.54</v>
      </c>
      <c r="F758" s="3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 s="7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 s="5">
        <v>39</v>
      </c>
      <c r="C759">
        <v>69.28</v>
      </c>
      <c r="D759">
        <v>9</v>
      </c>
      <c r="E759" s="5">
        <v>2701.92</v>
      </c>
      <c r="F759" s="3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s="7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 s="5">
        <v>31</v>
      </c>
      <c r="C760">
        <v>71.099999999999994</v>
      </c>
      <c r="D760">
        <v>18</v>
      </c>
      <c r="E760" s="5">
        <v>2204.1</v>
      </c>
      <c r="F760" s="3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s="7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 s="5">
        <v>41</v>
      </c>
      <c r="C761">
        <v>69.28</v>
      </c>
      <c r="D761">
        <v>7</v>
      </c>
      <c r="E761" s="5">
        <v>2840.48</v>
      </c>
      <c r="F761" s="3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s="7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 s="5">
        <v>44</v>
      </c>
      <c r="C762">
        <v>60.16</v>
      </c>
      <c r="D762">
        <v>12</v>
      </c>
      <c r="E762" s="5">
        <v>2647.04</v>
      </c>
      <c r="F762" s="3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s="7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 s="5">
        <v>45</v>
      </c>
      <c r="C763">
        <v>70.489999999999995</v>
      </c>
      <c r="D763">
        <v>2</v>
      </c>
      <c r="E763" s="5">
        <v>3172.05</v>
      </c>
      <c r="F763" s="3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s="7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 s="5">
        <v>37</v>
      </c>
      <c r="C764">
        <v>69.89</v>
      </c>
      <c r="D764">
        <v>13</v>
      </c>
      <c r="E764" s="5">
        <v>2585.9299999999998</v>
      </c>
      <c r="F764" s="3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 s="7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 s="5">
        <v>35</v>
      </c>
      <c r="C765">
        <v>61.38</v>
      </c>
      <c r="D765">
        <v>2</v>
      </c>
      <c r="E765" s="5">
        <v>2148.3000000000002</v>
      </c>
      <c r="F765" s="3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s="7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 s="5">
        <v>28</v>
      </c>
      <c r="C766">
        <v>59.55</v>
      </c>
      <c r="D766">
        <v>7</v>
      </c>
      <c r="E766" s="5">
        <v>1667.4</v>
      </c>
      <c r="F766" s="3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 s="7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 s="5">
        <v>30</v>
      </c>
      <c r="C767">
        <v>61.99</v>
      </c>
      <c r="D767">
        <v>11</v>
      </c>
      <c r="E767" s="5">
        <v>1859.7</v>
      </c>
      <c r="F767" s="3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s="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 s="5">
        <v>30</v>
      </c>
      <c r="C768">
        <v>49.22</v>
      </c>
      <c r="D768">
        <v>10</v>
      </c>
      <c r="E768" s="5">
        <v>1476.6</v>
      </c>
      <c r="F768" s="3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s="7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 s="5">
        <v>25</v>
      </c>
      <c r="C769">
        <v>69.28</v>
      </c>
      <c r="D769">
        <v>11</v>
      </c>
      <c r="E769" s="5">
        <v>1732</v>
      </c>
      <c r="F769" s="3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 s="7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 s="5">
        <v>29</v>
      </c>
      <c r="C770">
        <v>57.73</v>
      </c>
      <c r="D770">
        <v>7</v>
      </c>
      <c r="E770" s="5">
        <v>1674.17</v>
      </c>
      <c r="F770" s="3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 s="7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 s="5">
        <v>26</v>
      </c>
      <c r="C771">
        <v>57.73</v>
      </c>
      <c r="D771">
        <v>2</v>
      </c>
      <c r="E771" s="5">
        <v>1500.98</v>
      </c>
      <c r="F771" s="3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s="7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 s="5">
        <v>41</v>
      </c>
      <c r="C772">
        <v>53.48</v>
      </c>
      <c r="D772">
        <v>11</v>
      </c>
      <c r="E772" s="5">
        <v>2192.6799999999998</v>
      </c>
      <c r="F772" s="3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 s="7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 s="5">
        <v>34</v>
      </c>
      <c r="C773">
        <v>52.87</v>
      </c>
      <c r="D773">
        <v>5</v>
      </c>
      <c r="E773" s="5">
        <v>1797.58</v>
      </c>
      <c r="F773" s="3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s="7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 s="5">
        <v>35</v>
      </c>
      <c r="C774">
        <v>61.21</v>
      </c>
      <c r="D774">
        <v>11</v>
      </c>
      <c r="E774" s="5">
        <v>2142.35</v>
      </c>
      <c r="F774" s="3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 s="7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 s="5">
        <v>34</v>
      </c>
      <c r="C775">
        <v>61.38</v>
      </c>
      <c r="D775">
        <v>1</v>
      </c>
      <c r="E775" s="5">
        <v>2086.92</v>
      </c>
      <c r="F775" s="3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s="7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 s="5">
        <v>50</v>
      </c>
      <c r="C776">
        <v>100</v>
      </c>
      <c r="D776">
        <v>8</v>
      </c>
      <c r="E776" s="5">
        <v>6834.5</v>
      </c>
      <c r="F776" s="3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s="7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 s="5">
        <v>41</v>
      </c>
      <c r="C777">
        <v>61.99</v>
      </c>
      <c r="D777">
        <v>7</v>
      </c>
      <c r="E777" s="5">
        <v>2541.59</v>
      </c>
      <c r="F777" s="3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 s="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 s="5">
        <v>22</v>
      </c>
      <c r="C778">
        <v>96.86</v>
      </c>
      <c r="D778">
        <v>7</v>
      </c>
      <c r="E778" s="5">
        <v>2130.92</v>
      </c>
      <c r="F778" s="3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s="7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 s="5">
        <v>35</v>
      </c>
      <c r="C779">
        <v>48.62</v>
      </c>
      <c r="D779">
        <v>7</v>
      </c>
      <c r="E779" s="5">
        <v>1701.7</v>
      </c>
      <c r="F779" s="3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 s="7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 s="5">
        <v>44</v>
      </c>
      <c r="C780">
        <v>38.5</v>
      </c>
      <c r="D780">
        <v>5</v>
      </c>
      <c r="E780" s="5">
        <v>1694</v>
      </c>
      <c r="F780" s="3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s="7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 s="5">
        <v>47</v>
      </c>
      <c r="C781">
        <v>61.99</v>
      </c>
      <c r="D781">
        <v>11</v>
      </c>
      <c r="E781" s="5">
        <v>2913.53</v>
      </c>
      <c r="F781" s="3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s="7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 s="5">
        <v>19</v>
      </c>
      <c r="C782">
        <v>49.22</v>
      </c>
      <c r="D782">
        <v>10</v>
      </c>
      <c r="E782" s="5">
        <v>935.18</v>
      </c>
      <c r="F782" s="3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s="7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 s="5">
        <v>34</v>
      </c>
      <c r="C783">
        <v>90.39</v>
      </c>
      <c r="D783">
        <v>2</v>
      </c>
      <c r="E783" s="5">
        <v>3073.26</v>
      </c>
      <c r="F783" s="3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s="7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 s="5">
        <v>29</v>
      </c>
      <c r="C784">
        <v>71.81</v>
      </c>
      <c r="D784">
        <v>8</v>
      </c>
      <c r="E784" s="5">
        <v>2082.4899999999998</v>
      </c>
      <c r="F784" s="3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s="7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 s="5">
        <v>49</v>
      </c>
      <c r="C785">
        <v>69.27</v>
      </c>
      <c r="D785">
        <v>3</v>
      </c>
      <c r="E785" s="5">
        <v>3394.23</v>
      </c>
      <c r="F785" s="3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s="7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 s="5">
        <v>30</v>
      </c>
      <c r="C786">
        <v>85.32</v>
      </c>
      <c r="D786">
        <v>14</v>
      </c>
      <c r="E786" s="5">
        <v>2559.6</v>
      </c>
      <c r="F786" s="3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 s="7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 s="5">
        <v>21</v>
      </c>
      <c r="C787">
        <v>70.959999999999994</v>
      </c>
      <c r="D787">
        <v>9</v>
      </c>
      <c r="E787" s="5">
        <v>1490.16</v>
      </c>
      <c r="F787" s="3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 s="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 s="5">
        <v>50</v>
      </c>
      <c r="C788">
        <v>76.88</v>
      </c>
      <c r="D788">
        <v>7</v>
      </c>
      <c r="E788" s="5">
        <v>3844</v>
      </c>
      <c r="F788" s="3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s="7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 s="5">
        <v>47</v>
      </c>
      <c r="C789">
        <v>100</v>
      </c>
      <c r="D789">
        <v>9</v>
      </c>
      <c r="E789" s="5">
        <v>4724.91</v>
      </c>
      <c r="F789" s="3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s="7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 s="5">
        <v>24</v>
      </c>
      <c r="C790">
        <v>76.03</v>
      </c>
      <c r="D790">
        <v>3</v>
      </c>
      <c r="E790" s="5">
        <v>1824.72</v>
      </c>
      <c r="F790" s="3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s="7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 s="5">
        <v>27</v>
      </c>
      <c r="C791">
        <v>98.84</v>
      </c>
      <c r="D791">
        <v>4</v>
      </c>
      <c r="E791" s="5">
        <v>2668.68</v>
      </c>
      <c r="F791" s="3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 s="7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 s="5">
        <v>33</v>
      </c>
      <c r="C792">
        <v>86.17</v>
      </c>
      <c r="D792">
        <v>10</v>
      </c>
      <c r="E792" s="5">
        <v>2843.61</v>
      </c>
      <c r="F792" s="3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 s="7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 s="5">
        <v>35</v>
      </c>
      <c r="C793">
        <v>90.39</v>
      </c>
      <c r="D793">
        <v>9</v>
      </c>
      <c r="E793" s="5">
        <v>3163.65</v>
      </c>
      <c r="F793" s="3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s="7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 s="5">
        <v>31</v>
      </c>
      <c r="C794">
        <v>71.81</v>
      </c>
      <c r="D794">
        <v>1</v>
      </c>
      <c r="E794" s="5">
        <v>2226.11</v>
      </c>
      <c r="F794" s="3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s="7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 s="5">
        <v>25</v>
      </c>
      <c r="C795">
        <v>82.79</v>
      </c>
      <c r="D795">
        <v>4</v>
      </c>
      <c r="E795" s="5">
        <v>2069.75</v>
      </c>
      <c r="F795" s="3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s="7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 s="5">
        <v>27</v>
      </c>
      <c r="C796">
        <v>82.79</v>
      </c>
      <c r="D796">
        <v>7</v>
      </c>
      <c r="E796" s="5">
        <v>2235.33</v>
      </c>
      <c r="F796" s="3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 s="7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 s="5">
        <v>31</v>
      </c>
      <c r="C797">
        <v>100</v>
      </c>
      <c r="D797">
        <v>9</v>
      </c>
      <c r="E797" s="5">
        <v>3116.43</v>
      </c>
      <c r="F797" s="3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 s="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 s="5">
        <v>45</v>
      </c>
      <c r="C798">
        <v>100</v>
      </c>
      <c r="D798">
        <v>8</v>
      </c>
      <c r="E798" s="5">
        <v>4781.7</v>
      </c>
      <c r="F798" s="3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s="7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 s="5">
        <v>27</v>
      </c>
      <c r="C799">
        <v>100</v>
      </c>
      <c r="D799">
        <v>2</v>
      </c>
      <c r="E799" s="5">
        <v>2810.7</v>
      </c>
      <c r="F799" s="3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s="7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 s="5">
        <v>27</v>
      </c>
      <c r="C800">
        <v>100</v>
      </c>
      <c r="D800">
        <v>1</v>
      </c>
      <c r="E800" s="5">
        <v>3515.67</v>
      </c>
      <c r="F800" s="3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 s="7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 s="5">
        <v>42</v>
      </c>
      <c r="C801">
        <v>69.27</v>
      </c>
      <c r="D801">
        <v>2</v>
      </c>
      <c r="E801" s="5">
        <v>2909.34</v>
      </c>
      <c r="F801" s="3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s="7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 s="5">
        <v>21</v>
      </c>
      <c r="C802">
        <v>74.77</v>
      </c>
      <c r="D802">
        <v>18</v>
      </c>
      <c r="E802" s="5">
        <v>1570.17</v>
      </c>
      <c r="F802" s="3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s="7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 s="5">
        <v>34</v>
      </c>
      <c r="C803">
        <v>76.88</v>
      </c>
      <c r="D803">
        <v>15</v>
      </c>
      <c r="E803" s="5">
        <v>2613.92</v>
      </c>
      <c r="F803" s="3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s="7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 s="5">
        <v>42</v>
      </c>
      <c r="C804">
        <v>76.03</v>
      </c>
      <c r="D804">
        <v>3</v>
      </c>
      <c r="E804" s="5">
        <v>3193.26</v>
      </c>
      <c r="F804" s="3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 s="7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 s="5">
        <v>15</v>
      </c>
      <c r="C805">
        <v>98.84</v>
      </c>
      <c r="D805">
        <v>4</v>
      </c>
      <c r="E805" s="5">
        <v>1482.6</v>
      </c>
      <c r="F805" s="3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s="7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 s="5">
        <v>29</v>
      </c>
      <c r="C806">
        <v>70.87</v>
      </c>
      <c r="D806">
        <v>6</v>
      </c>
      <c r="E806" s="5">
        <v>2055.23</v>
      </c>
      <c r="F806" s="3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 s="7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 s="5">
        <v>46</v>
      </c>
      <c r="C807">
        <v>58.15</v>
      </c>
      <c r="D807">
        <v>4</v>
      </c>
      <c r="E807" s="5">
        <v>2674.9</v>
      </c>
      <c r="F807" s="3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s="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 s="5">
        <v>30</v>
      </c>
      <c r="C808">
        <v>61.78</v>
      </c>
      <c r="D808">
        <v>6</v>
      </c>
      <c r="E808" s="5">
        <v>1853.4</v>
      </c>
      <c r="F808" s="3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s="7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 s="5">
        <v>30</v>
      </c>
      <c r="C809">
        <v>49.67</v>
      </c>
      <c r="D809">
        <v>10</v>
      </c>
      <c r="E809" s="5">
        <v>1490.1</v>
      </c>
      <c r="F809" s="3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 s="7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 s="5">
        <v>42</v>
      </c>
      <c r="C810">
        <v>51.48</v>
      </c>
      <c r="D810">
        <v>18</v>
      </c>
      <c r="E810" s="5">
        <v>2162.16</v>
      </c>
      <c r="F810" s="3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 s="7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 s="5">
        <v>46</v>
      </c>
      <c r="C811">
        <v>61.18</v>
      </c>
      <c r="D811">
        <v>5</v>
      </c>
      <c r="E811" s="5">
        <v>2814.28</v>
      </c>
      <c r="F811" s="3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 s="7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 s="5">
        <v>25</v>
      </c>
      <c r="C812">
        <v>64.2</v>
      </c>
      <c r="D812">
        <v>13</v>
      </c>
      <c r="E812" s="5">
        <v>1605</v>
      </c>
      <c r="F812" s="3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s="7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 s="5">
        <v>32</v>
      </c>
      <c r="C813">
        <v>65.42</v>
      </c>
      <c r="D813">
        <v>5</v>
      </c>
      <c r="E813" s="5">
        <v>2093.44</v>
      </c>
      <c r="F813" s="3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s="7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 s="5">
        <v>30</v>
      </c>
      <c r="C814">
        <v>64.81</v>
      </c>
      <c r="D814">
        <v>6</v>
      </c>
      <c r="E814" s="5">
        <v>1944.3</v>
      </c>
      <c r="F814" s="3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 s="7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 s="5">
        <v>40</v>
      </c>
      <c r="C815">
        <v>49.67</v>
      </c>
      <c r="D815">
        <v>3</v>
      </c>
      <c r="E815" s="5">
        <v>1986.8</v>
      </c>
      <c r="F815" s="3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s="7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 s="5">
        <v>28</v>
      </c>
      <c r="C816">
        <v>60.57</v>
      </c>
      <c r="D816">
        <v>5</v>
      </c>
      <c r="E816" s="5">
        <v>1695.96</v>
      </c>
      <c r="F816" s="3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s="7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 s="5">
        <v>23</v>
      </c>
      <c r="C817">
        <v>55.72</v>
      </c>
      <c r="D817">
        <v>2</v>
      </c>
      <c r="E817" s="5">
        <v>1281.56</v>
      </c>
      <c r="F817" s="3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 s="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 s="5">
        <v>29</v>
      </c>
      <c r="C818">
        <v>61.18</v>
      </c>
      <c r="D818">
        <v>6</v>
      </c>
      <c r="E818" s="5">
        <v>1774.22</v>
      </c>
      <c r="F818" s="3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 s="7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 s="5">
        <v>34</v>
      </c>
      <c r="C819">
        <v>58.75</v>
      </c>
      <c r="D819">
        <v>6</v>
      </c>
      <c r="E819" s="5">
        <v>1997.5</v>
      </c>
      <c r="F819" s="3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 s="7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 s="5">
        <v>37</v>
      </c>
      <c r="C820">
        <v>63.6</v>
      </c>
      <c r="D820">
        <v>5</v>
      </c>
      <c r="E820" s="5">
        <v>2353.1999999999998</v>
      </c>
      <c r="F820" s="3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s="7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 s="5">
        <v>20</v>
      </c>
      <c r="C821">
        <v>49.06</v>
      </c>
      <c r="D821">
        <v>10</v>
      </c>
      <c r="E821" s="5">
        <v>981.2</v>
      </c>
      <c r="F821" s="3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 s="7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 s="5">
        <v>32</v>
      </c>
      <c r="C822">
        <v>48.46</v>
      </c>
      <c r="D822">
        <v>2</v>
      </c>
      <c r="E822" s="5">
        <v>1550.72</v>
      </c>
      <c r="F822" s="3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s="7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 s="5">
        <v>34</v>
      </c>
      <c r="C823">
        <v>52.09</v>
      </c>
      <c r="D823">
        <v>3</v>
      </c>
      <c r="E823" s="5">
        <v>1771.06</v>
      </c>
      <c r="F823" s="3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 s="7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 s="5">
        <v>42</v>
      </c>
      <c r="C824">
        <v>52.7</v>
      </c>
      <c r="D824">
        <v>5</v>
      </c>
      <c r="E824" s="5">
        <v>2213.4</v>
      </c>
      <c r="F824" s="3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 s="7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 s="5">
        <v>38</v>
      </c>
      <c r="C825">
        <v>100</v>
      </c>
      <c r="D825">
        <v>12</v>
      </c>
      <c r="E825" s="5">
        <v>5266.04</v>
      </c>
      <c r="F825" s="3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 s="7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 s="5">
        <v>30</v>
      </c>
      <c r="C826">
        <v>62.16</v>
      </c>
      <c r="D826">
        <v>1</v>
      </c>
      <c r="E826" s="5">
        <v>1864.8</v>
      </c>
      <c r="F826" s="3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s="7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 s="5">
        <v>23</v>
      </c>
      <c r="C827">
        <v>49.67</v>
      </c>
      <c r="D827">
        <v>3</v>
      </c>
      <c r="E827" s="5">
        <v>1142.4100000000001</v>
      </c>
      <c r="F827" s="3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 s="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 s="5">
        <v>22</v>
      </c>
      <c r="C828">
        <v>53.3</v>
      </c>
      <c r="D828">
        <v>4</v>
      </c>
      <c r="E828" s="5">
        <v>1172.5999999999999</v>
      </c>
      <c r="F828" s="3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s="7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 s="5">
        <v>39</v>
      </c>
      <c r="C829">
        <v>100</v>
      </c>
      <c r="D829">
        <v>5</v>
      </c>
      <c r="E829" s="5">
        <v>6981</v>
      </c>
      <c r="F829" s="3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s="7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 s="5">
        <v>55</v>
      </c>
      <c r="C830">
        <v>55.72</v>
      </c>
      <c r="D830">
        <v>2</v>
      </c>
      <c r="E830" s="5">
        <v>3064.6</v>
      </c>
      <c r="F830" s="3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s="7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 s="5">
        <v>36</v>
      </c>
      <c r="C831">
        <v>61.18</v>
      </c>
      <c r="D831">
        <v>6</v>
      </c>
      <c r="E831" s="5">
        <v>2202.48</v>
      </c>
      <c r="F831" s="3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s="7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 s="5">
        <v>26</v>
      </c>
      <c r="C832">
        <v>100</v>
      </c>
      <c r="D832">
        <v>1</v>
      </c>
      <c r="E832" s="5">
        <v>3773.38</v>
      </c>
      <c r="F832" s="3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s="7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 s="5">
        <v>31</v>
      </c>
      <c r="C833">
        <v>100</v>
      </c>
      <c r="D833">
        <v>1</v>
      </c>
      <c r="E833" s="5">
        <v>5074.3900000000003</v>
      </c>
      <c r="F833" s="3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s="7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 s="5">
        <v>34</v>
      </c>
      <c r="C834">
        <v>100</v>
      </c>
      <c r="D834">
        <v>2</v>
      </c>
      <c r="E834" s="5">
        <v>6483.46</v>
      </c>
      <c r="F834" s="3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s="7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 s="5">
        <v>41</v>
      </c>
      <c r="C835">
        <v>100</v>
      </c>
      <c r="D835">
        <v>8</v>
      </c>
      <c r="E835" s="5">
        <v>7956.46</v>
      </c>
      <c r="F835" s="3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s="7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 s="5">
        <v>23</v>
      </c>
      <c r="C836">
        <v>100</v>
      </c>
      <c r="D836">
        <v>5</v>
      </c>
      <c r="E836" s="5">
        <v>4230.62</v>
      </c>
      <c r="F836" s="3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 s="7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 s="5">
        <v>48</v>
      </c>
      <c r="C837">
        <v>100</v>
      </c>
      <c r="D837">
        <v>3</v>
      </c>
      <c r="E837" s="5">
        <v>7209.12</v>
      </c>
      <c r="F837" s="3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 s="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 s="5">
        <v>22</v>
      </c>
      <c r="C838">
        <v>100</v>
      </c>
      <c r="D838">
        <v>7</v>
      </c>
      <c r="E838" s="5">
        <v>3452.68</v>
      </c>
      <c r="F838" s="3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s="7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 s="5">
        <v>21</v>
      </c>
      <c r="C839">
        <v>100</v>
      </c>
      <c r="D839">
        <v>4</v>
      </c>
      <c r="E839" s="5">
        <v>3047.73</v>
      </c>
      <c r="F839" s="3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 s="7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 s="5">
        <v>22</v>
      </c>
      <c r="C840">
        <v>100</v>
      </c>
      <c r="D840">
        <v>8</v>
      </c>
      <c r="E840" s="5">
        <v>3675.32</v>
      </c>
      <c r="F840" s="3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s="7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 s="5">
        <v>40</v>
      </c>
      <c r="C841">
        <v>100</v>
      </c>
      <c r="D841">
        <v>3</v>
      </c>
      <c r="E841" s="5">
        <v>7492.4</v>
      </c>
      <c r="F841" s="3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s="7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 s="5">
        <v>50</v>
      </c>
      <c r="C842">
        <v>100</v>
      </c>
      <c r="D842">
        <v>1</v>
      </c>
      <c r="E842" s="5">
        <v>9534.5</v>
      </c>
      <c r="F842" s="3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s="7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 s="5">
        <v>29</v>
      </c>
      <c r="C843">
        <v>100</v>
      </c>
      <c r="D843">
        <v>4</v>
      </c>
      <c r="E843" s="5">
        <v>5579.02</v>
      </c>
      <c r="F843" s="3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s="7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 s="5">
        <v>43</v>
      </c>
      <c r="C844">
        <v>100</v>
      </c>
      <c r="D844">
        <v>8</v>
      </c>
      <c r="E844" s="5">
        <v>5950.34</v>
      </c>
      <c r="F844" s="3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s="7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 s="5">
        <v>24</v>
      </c>
      <c r="C845">
        <v>100</v>
      </c>
      <c r="D845">
        <v>1</v>
      </c>
      <c r="E845" s="5">
        <v>3726</v>
      </c>
      <c r="F845" s="3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s="7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 s="5">
        <v>22</v>
      </c>
      <c r="C846">
        <v>100</v>
      </c>
      <c r="D846">
        <v>10</v>
      </c>
      <c r="E846" s="5">
        <v>4455</v>
      </c>
      <c r="F846" s="3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s="7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 s="5">
        <v>43</v>
      </c>
      <c r="C847">
        <v>100</v>
      </c>
      <c r="D847">
        <v>3</v>
      </c>
      <c r="E847" s="5">
        <v>8272.34</v>
      </c>
      <c r="F847" s="3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s="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 s="5">
        <v>20</v>
      </c>
      <c r="C848">
        <v>100</v>
      </c>
      <c r="D848">
        <v>14</v>
      </c>
      <c r="E848" s="5">
        <v>3577.6</v>
      </c>
      <c r="F848" s="3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s="7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 s="5">
        <v>25</v>
      </c>
      <c r="C849">
        <v>100</v>
      </c>
      <c r="D849">
        <v>11</v>
      </c>
      <c r="E849" s="5">
        <v>3881.25</v>
      </c>
      <c r="F849" s="3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 s="7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 s="5">
        <v>36</v>
      </c>
      <c r="C850">
        <v>100</v>
      </c>
      <c r="D850">
        <v>2</v>
      </c>
      <c r="E850" s="5">
        <v>5797.44</v>
      </c>
      <c r="F850" s="3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 s="7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 s="5">
        <v>24</v>
      </c>
      <c r="C851">
        <v>52.67</v>
      </c>
      <c r="D851">
        <v>1</v>
      </c>
      <c r="E851" s="5">
        <v>1264.08</v>
      </c>
      <c r="F851" s="3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s="7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 s="5">
        <v>21</v>
      </c>
      <c r="C852">
        <v>100</v>
      </c>
      <c r="D852">
        <v>6</v>
      </c>
      <c r="E852" s="5">
        <v>4815.3</v>
      </c>
      <c r="F852" s="3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s="7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 s="5">
        <v>30</v>
      </c>
      <c r="C853">
        <v>100</v>
      </c>
      <c r="D853">
        <v>1</v>
      </c>
      <c r="E853" s="5">
        <v>4462.2</v>
      </c>
      <c r="F853" s="3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s="7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 s="5">
        <v>32</v>
      </c>
      <c r="C854">
        <v>94.79</v>
      </c>
      <c r="D854">
        <v>7</v>
      </c>
      <c r="E854" s="5">
        <v>3033.28</v>
      </c>
      <c r="F854" s="3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 s="7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 s="5">
        <v>21</v>
      </c>
      <c r="C855">
        <v>47.18</v>
      </c>
      <c r="D855">
        <v>8</v>
      </c>
      <c r="E855" s="5">
        <v>990.78</v>
      </c>
      <c r="F855" s="3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s="7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 s="5">
        <v>26</v>
      </c>
      <c r="C856">
        <v>78.11</v>
      </c>
      <c r="D856">
        <v>7</v>
      </c>
      <c r="E856" s="5">
        <v>2030.86</v>
      </c>
      <c r="F856" s="3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 s="7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 s="5">
        <v>35</v>
      </c>
      <c r="C857">
        <v>100</v>
      </c>
      <c r="D857">
        <v>1</v>
      </c>
      <c r="E857" s="5">
        <v>5433.75</v>
      </c>
      <c r="F857" s="3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 s="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 s="5">
        <v>26</v>
      </c>
      <c r="C858">
        <v>100</v>
      </c>
      <c r="D858">
        <v>1</v>
      </c>
      <c r="E858" s="5">
        <v>3157.44</v>
      </c>
      <c r="F858" s="3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 s="7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 s="5">
        <v>46</v>
      </c>
      <c r="C859">
        <v>100</v>
      </c>
      <c r="D859">
        <v>3</v>
      </c>
      <c r="E859" s="5">
        <v>5161.2</v>
      </c>
      <c r="F859" s="3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s="7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 s="5">
        <v>37</v>
      </c>
      <c r="C860">
        <v>100</v>
      </c>
      <c r="D860">
        <v>3</v>
      </c>
      <c r="E860" s="5">
        <v>4346.76</v>
      </c>
      <c r="F860" s="3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s="7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 s="5">
        <v>27</v>
      </c>
      <c r="C861">
        <v>100</v>
      </c>
      <c r="D861">
        <v>10</v>
      </c>
      <c r="E861" s="5">
        <v>3528.36</v>
      </c>
      <c r="F861" s="3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s="7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 s="5">
        <v>23</v>
      </c>
      <c r="C862">
        <v>100</v>
      </c>
      <c r="D862">
        <v>9</v>
      </c>
      <c r="E862" s="5">
        <v>3187.8</v>
      </c>
      <c r="F862" s="3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s="7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 s="5">
        <v>39</v>
      </c>
      <c r="C863">
        <v>100</v>
      </c>
      <c r="D863">
        <v>7</v>
      </c>
      <c r="E863" s="5">
        <v>6023.16</v>
      </c>
      <c r="F863" s="3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 s="7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 s="5">
        <v>27</v>
      </c>
      <c r="C864">
        <v>100</v>
      </c>
      <c r="D864">
        <v>3</v>
      </c>
      <c r="E864" s="5">
        <v>3884.76</v>
      </c>
      <c r="F864" s="3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s="7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 s="5">
        <v>38</v>
      </c>
      <c r="C865">
        <v>100</v>
      </c>
      <c r="D865">
        <v>8</v>
      </c>
      <c r="E865" s="5">
        <v>4965.84</v>
      </c>
      <c r="F865" s="3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 s="7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 s="5">
        <v>27</v>
      </c>
      <c r="C866">
        <v>100</v>
      </c>
      <c r="D866">
        <v>14</v>
      </c>
      <c r="E866" s="5">
        <v>4169.88</v>
      </c>
      <c r="F866" s="3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 s="7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 s="5">
        <v>40</v>
      </c>
      <c r="C867">
        <v>100</v>
      </c>
      <c r="D867">
        <v>7</v>
      </c>
      <c r="E867" s="5">
        <v>4910.3999999999996</v>
      </c>
      <c r="F867" s="3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s="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 s="5">
        <v>24</v>
      </c>
      <c r="C868">
        <v>100</v>
      </c>
      <c r="D868">
        <v>5</v>
      </c>
      <c r="E868" s="5">
        <v>3231.36</v>
      </c>
      <c r="F868" s="3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 s="7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 s="5">
        <v>44</v>
      </c>
      <c r="C869">
        <v>100</v>
      </c>
      <c r="D869">
        <v>12</v>
      </c>
      <c r="E869" s="5">
        <v>6853.44</v>
      </c>
      <c r="F869" s="3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s="7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 s="5">
        <v>37</v>
      </c>
      <c r="C870">
        <v>100</v>
      </c>
      <c r="D870">
        <v>2</v>
      </c>
      <c r="E870" s="5">
        <v>5177.04</v>
      </c>
      <c r="F870" s="3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s="7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 s="5">
        <v>20</v>
      </c>
      <c r="C871">
        <v>100</v>
      </c>
      <c r="D871">
        <v>3</v>
      </c>
      <c r="E871" s="5">
        <v>2824.8</v>
      </c>
      <c r="F871" s="3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s="7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 s="5">
        <v>39</v>
      </c>
      <c r="C872">
        <v>100</v>
      </c>
      <c r="D872">
        <v>3</v>
      </c>
      <c r="E872" s="5">
        <v>4324.32</v>
      </c>
      <c r="F872" s="3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 s="7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 s="5">
        <v>44</v>
      </c>
      <c r="C873">
        <v>100</v>
      </c>
      <c r="D873">
        <v>1</v>
      </c>
      <c r="E873" s="5">
        <v>5052.96</v>
      </c>
      <c r="F873" s="3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s="7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 s="5">
        <v>22</v>
      </c>
      <c r="C874">
        <v>100</v>
      </c>
      <c r="D874">
        <v>5</v>
      </c>
      <c r="E874" s="5">
        <v>3223.44</v>
      </c>
      <c r="F874" s="3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s="7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 s="5">
        <v>43</v>
      </c>
      <c r="C875">
        <v>100</v>
      </c>
      <c r="D875">
        <v>10</v>
      </c>
      <c r="E875" s="5">
        <v>5278.68</v>
      </c>
      <c r="F875" s="3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s="7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 s="5">
        <v>27</v>
      </c>
      <c r="C876">
        <v>100</v>
      </c>
      <c r="D876">
        <v>7</v>
      </c>
      <c r="E876" s="5">
        <v>2851.2</v>
      </c>
      <c r="F876" s="3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 s="7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 s="5">
        <v>26</v>
      </c>
      <c r="C877">
        <v>64.900000000000006</v>
      </c>
      <c r="D877">
        <v>10</v>
      </c>
      <c r="E877" s="5">
        <v>1687.4</v>
      </c>
      <c r="F877" s="3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 s="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 s="5">
        <v>25</v>
      </c>
      <c r="C878">
        <v>52.32</v>
      </c>
      <c r="D878">
        <v>3</v>
      </c>
      <c r="E878" s="5">
        <v>1308</v>
      </c>
      <c r="F878" s="3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s="7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 s="5">
        <v>49</v>
      </c>
      <c r="C879">
        <v>100</v>
      </c>
      <c r="D879">
        <v>2</v>
      </c>
      <c r="E879" s="5">
        <v>6144.6</v>
      </c>
      <c r="F879" s="3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s="7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 s="5">
        <v>29</v>
      </c>
      <c r="C880">
        <v>100</v>
      </c>
      <c r="D880">
        <v>5</v>
      </c>
      <c r="E880" s="5">
        <v>5127.2</v>
      </c>
      <c r="F880" s="3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s="7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 s="5">
        <v>41</v>
      </c>
      <c r="C881">
        <v>100</v>
      </c>
      <c r="D881">
        <v>12</v>
      </c>
      <c r="E881" s="5">
        <v>6386.16</v>
      </c>
      <c r="F881" s="3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 s="7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 s="5">
        <v>55</v>
      </c>
      <c r="C882">
        <v>100</v>
      </c>
      <c r="D882">
        <v>2</v>
      </c>
      <c r="E882" s="5">
        <v>7695.6</v>
      </c>
      <c r="F882" s="3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s="7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 s="5">
        <v>27</v>
      </c>
      <c r="C883">
        <v>83.07</v>
      </c>
      <c r="D883">
        <v>12</v>
      </c>
      <c r="E883" s="5">
        <v>2242.89</v>
      </c>
      <c r="F883" s="3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s="7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 s="5">
        <v>23</v>
      </c>
      <c r="C884">
        <v>100</v>
      </c>
      <c r="D884">
        <v>2</v>
      </c>
      <c r="E884" s="5">
        <v>2539.89</v>
      </c>
      <c r="F884" s="3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s="7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 s="5">
        <v>31</v>
      </c>
      <c r="C885">
        <v>90.17</v>
      </c>
      <c r="D885">
        <v>12</v>
      </c>
      <c r="E885" s="5">
        <v>2795.27</v>
      </c>
      <c r="F885" s="3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s="7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 s="5">
        <v>46</v>
      </c>
      <c r="C886">
        <v>100</v>
      </c>
      <c r="D886">
        <v>1</v>
      </c>
      <c r="E886" s="5">
        <v>5545.76</v>
      </c>
      <c r="F886" s="3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s="7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 s="5">
        <v>47</v>
      </c>
      <c r="C887">
        <v>91.18</v>
      </c>
      <c r="D887">
        <v>9</v>
      </c>
      <c r="E887" s="5">
        <v>4285.46</v>
      </c>
      <c r="F887" s="3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s="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 s="5">
        <v>31</v>
      </c>
      <c r="C888">
        <v>100</v>
      </c>
      <c r="D888">
        <v>2</v>
      </c>
      <c r="E888" s="5">
        <v>3329.09</v>
      </c>
      <c r="F888" s="3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 s="7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 s="5">
        <v>46</v>
      </c>
      <c r="C889">
        <v>100</v>
      </c>
      <c r="D889">
        <v>5</v>
      </c>
      <c r="E889" s="5">
        <v>5592.22</v>
      </c>
      <c r="F889" s="3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s="7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 s="5">
        <v>37</v>
      </c>
      <c r="C890">
        <v>89.15</v>
      </c>
      <c r="D890">
        <v>9</v>
      </c>
      <c r="E890" s="5">
        <v>3298.55</v>
      </c>
      <c r="F890" s="3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 s="7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 s="5">
        <v>28</v>
      </c>
      <c r="C891">
        <v>93.21</v>
      </c>
      <c r="D891">
        <v>1</v>
      </c>
      <c r="E891" s="5">
        <v>2609.88</v>
      </c>
      <c r="F891" s="3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s="7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 s="5">
        <v>37</v>
      </c>
      <c r="C892">
        <v>90.17</v>
      </c>
      <c r="D892">
        <v>7</v>
      </c>
      <c r="E892" s="5">
        <v>3336.29</v>
      </c>
      <c r="F892" s="3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s="7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 s="5">
        <v>49</v>
      </c>
      <c r="C893">
        <v>100</v>
      </c>
      <c r="D893">
        <v>4</v>
      </c>
      <c r="E893" s="5">
        <v>5510.05</v>
      </c>
      <c r="F893" s="3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 s="7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 s="5">
        <v>24</v>
      </c>
      <c r="C894">
        <v>100</v>
      </c>
      <c r="D894">
        <v>3</v>
      </c>
      <c r="E894" s="5">
        <v>2504.4</v>
      </c>
      <c r="F894" s="3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 s="7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 s="5">
        <v>30</v>
      </c>
      <c r="C895">
        <v>100</v>
      </c>
      <c r="D895">
        <v>1</v>
      </c>
      <c r="E895" s="5">
        <v>3525.6</v>
      </c>
      <c r="F895" s="3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s="7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 s="5">
        <v>50</v>
      </c>
      <c r="C896">
        <v>88.14</v>
      </c>
      <c r="D896">
        <v>1</v>
      </c>
      <c r="E896" s="5">
        <v>4407</v>
      </c>
      <c r="F896" s="3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 s="7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 s="5">
        <v>31</v>
      </c>
      <c r="C897">
        <v>96.24</v>
      </c>
      <c r="D897">
        <v>10</v>
      </c>
      <c r="E897" s="5">
        <v>2983.44</v>
      </c>
      <c r="F897" s="3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s="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 s="5">
        <v>46</v>
      </c>
      <c r="C898">
        <v>100</v>
      </c>
      <c r="D898">
        <v>3</v>
      </c>
      <c r="E898" s="5">
        <v>5126.24</v>
      </c>
      <c r="F898" s="3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s="7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 s="5">
        <v>47</v>
      </c>
      <c r="C899">
        <v>100</v>
      </c>
      <c r="D899">
        <v>12</v>
      </c>
      <c r="E899" s="5">
        <v>5713.79</v>
      </c>
      <c r="F899" s="3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s="7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 s="5">
        <v>46</v>
      </c>
      <c r="C900">
        <v>100</v>
      </c>
      <c r="D900">
        <v>7</v>
      </c>
      <c r="E900" s="5">
        <v>4613.8</v>
      </c>
      <c r="F900" s="3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s="7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 s="5">
        <v>37</v>
      </c>
      <c r="C901">
        <v>100</v>
      </c>
      <c r="D901">
        <v>4</v>
      </c>
      <c r="E901" s="5">
        <v>3711.1</v>
      </c>
      <c r="F901" s="3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 s="7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 s="5">
        <v>33</v>
      </c>
      <c r="C902">
        <v>100</v>
      </c>
      <c r="D902">
        <v>12</v>
      </c>
      <c r="E902" s="5">
        <v>3524.73</v>
      </c>
      <c r="F902" s="3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 s="7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 s="5">
        <v>31</v>
      </c>
      <c r="C903">
        <v>90.17</v>
      </c>
      <c r="D903">
        <v>5</v>
      </c>
      <c r="E903" s="5">
        <v>2795.27</v>
      </c>
      <c r="F903" s="3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 s="7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 s="5">
        <v>48</v>
      </c>
      <c r="C904">
        <v>100</v>
      </c>
      <c r="D904">
        <v>9</v>
      </c>
      <c r="E904" s="5">
        <v>4814.3999999999996</v>
      </c>
      <c r="F904" s="3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s="7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 s="5">
        <v>41</v>
      </c>
      <c r="C905">
        <v>87.13</v>
      </c>
      <c r="D905">
        <v>6</v>
      </c>
      <c r="E905" s="5">
        <v>3572.33</v>
      </c>
      <c r="F905" s="3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 s="7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 s="5">
        <v>42</v>
      </c>
      <c r="C906">
        <v>100</v>
      </c>
      <c r="D906">
        <v>1</v>
      </c>
      <c r="E906" s="5">
        <v>4581.3599999999997</v>
      </c>
      <c r="F906" s="3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 s="7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 s="5">
        <v>41</v>
      </c>
      <c r="C907">
        <v>100</v>
      </c>
      <c r="D907">
        <v>8</v>
      </c>
      <c r="E907" s="5">
        <v>4319.76</v>
      </c>
      <c r="F907" s="3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 s="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 s="5">
        <v>32</v>
      </c>
      <c r="C908">
        <v>45.25</v>
      </c>
      <c r="D908">
        <v>6</v>
      </c>
      <c r="E908" s="5">
        <v>1448</v>
      </c>
      <c r="F908" s="3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s="7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 s="5">
        <v>10</v>
      </c>
      <c r="C909">
        <v>88.14</v>
      </c>
      <c r="D909">
        <v>1</v>
      </c>
      <c r="E909" s="5">
        <v>881.4</v>
      </c>
      <c r="F909" s="3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s="7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 s="5">
        <v>35</v>
      </c>
      <c r="C910">
        <v>57.46</v>
      </c>
      <c r="D910">
        <v>14</v>
      </c>
      <c r="E910" s="5">
        <v>2011.1</v>
      </c>
      <c r="F910" s="3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s="7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 s="5">
        <v>28</v>
      </c>
      <c r="C911">
        <v>64.33</v>
      </c>
      <c r="D911">
        <v>2</v>
      </c>
      <c r="E911" s="5">
        <v>1801.24</v>
      </c>
      <c r="F911" s="3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 s="7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 s="5">
        <v>46</v>
      </c>
      <c r="C912">
        <v>73.7</v>
      </c>
      <c r="D912">
        <v>14</v>
      </c>
      <c r="E912" s="5">
        <v>3390.2</v>
      </c>
      <c r="F912" s="3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s="7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 s="5">
        <v>20</v>
      </c>
      <c r="C913">
        <v>71.2</v>
      </c>
      <c r="D913">
        <v>3</v>
      </c>
      <c r="E913" s="5">
        <v>1424</v>
      </c>
      <c r="F913" s="3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s="7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 s="5">
        <v>30</v>
      </c>
      <c r="C914">
        <v>49.97</v>
      </c>
      <c r="D914">
        <v>11</v>
      </c>
      <c r="E914" s="5">
        <v>1499.1</v>
      </c>
      <c r="F914" s="3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s="7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 s="5">
        <v>48</v>
      </c>
      <c r="C915">
        <v>69.959999999999994</v>
      </c>
      <c r="D915">
        <v>4</v>
      </c>
      <c r="E915" s="5">
        <v>3358.08</v>
      </c>
      <c r="F915" s="3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 s="7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 s="5">
        <v>28</v>
      </c>
      <c r="C916">
        <v>53.72</v>
      </c>
      <c r="D916">
        <v>2</v>
      </c>
      <c r="E916" s="5">
        <v>1504.16</v>
      </c>
      <c r="F916" s="3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s="7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 s="5">
        <v>39</v>
      </c>
      <c r="C917">
        <v>68.08</v>
      </c>
      <c r="D917">
        <v>11</v>
      </c>
      <c r="E917" s="5">
        <v>2655.12</v>
      </c>
      <c r="F917" s="3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 s="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 s="5">
        <v>24</v>
      </c>
      <c r="C918">
        <v>51.84</v>
      </c>
      <c r="D918">
        <v>3</v>
      </c>
      <c r="E918" s="5">
        <v>1244.1600000000001</v>
      </c>
      <c r="F918" s="3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s="7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 s="5">
        <v>28</v>
      </c>
      <c r="C919">
        <v>67.459999999999994</v>
      </c>
      <c r="D919">
        <v>9</v>
      </c>
      <c r="E919" s="5">
        <v>1888.88</v>
      </c>
      <c r="F919" s="3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s="7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 s="5">
        <v>31</v>
      </c>
      <c r="C920">
        <v>58.71</v>
      </c>
      <c r="D920">
        <v>6</v>
      </c>
      <c r="E920" s="5">
        <v>1820.01</v>
      </c>
      <c r="F920" s="3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 s="7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 s="5">
        <v>45</v>
      </c>
      <c r="C921">
        <v>63.71</v>
      </c>
      <c r="D921">
        <v>5</v>
      </c>
      <c r="E921" s="5">
        <v>2866.95</v>
      </c>
      <c r="F921" s="3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 s="7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 s="5">
        <v>24</v>
      </c>
      <c r="C922">
        <v>58.09</v>
      </c>
      <c r="D922">
        <v>3</v>
      </c>
      <c r="E922" s="5">
        <v>1394.16</v>
      </c>
      <c r="F922" s="3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s="7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 s="5">
        <v>49</v>
      </c>
      <c r="C923">
        <v>53.72</v>
      </c>
      <c r="D923">
        <v>3</v>
      </c>
      <c r="E923" s="5">
        <v>2632.28</v>
      </c>
      <c r="F923" s="3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 s="7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 s="5">
        <v>32</v>
      </c>
      <c r="C924">
        <v>63.08</v>
      </c>
      <c r="D924">
        <v>1</v>
      </c>
      <c r="E924" s="5">
        <v>2018.56</v>
      </c>
      <c r="F924" s="3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s="7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 s="5">
        <v>43</v>
      </c>
      <c r="C925">
        <v>68.709999999999994</v>
      </c>
      <c r="D925">
        <v>5</v>
      </c>
      <c r="E925" s="5">
        <v>2954.53</v>
      </c>
      <c r="F925" s="3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s="7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 s="5">
        <v>37</v>
      </c>
      <c r="C926">
        <v>50.59</v>
      </c>
      <c r="D926">
        <v>14</v>
      </c>
      <c r="E926" s="5">
        <v>1871.83</v>
      </c>
      <c r="F926" s="3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s="7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 s="5">
        <v>24</v>
      </c>
      <c r="C927">
        <v>64.959999999999994</v>
      </c>
      <c r="D927">
        <v>9</v>
      </c>
      <c r="E927" s="5">
        <v>1559.04</v>
      </c>
      <c r="F927" s="3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s="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 s="5">
        <v>35</v>
      </c>
      <c r="C928">
        <v>53.72</v>
      </c>
      <c r="D928">
        <v>6</v>
      </c>
      <c r="E928" s="5">
        <v>1880.2</v>
      </c>
      <c r="F928" s="3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 s="7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 s="5">
        <v>41</v>
      </c>
      <c r="C929">
        <v>29.87</v>
      </c>
      <c r="D929">
        <v>13</v>
      </c>
      <c r="E929" s="5">
        <v>1224.67</v>
      </c>
      <c r="F929" s="3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 s="7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 s="5">
        <v>26</v>
      </c>
      <c r="C930">
        <v>100</v>
      </c>
      <c r="D930">
        <v>17</v>
      </c>
      <c r="E930" s="5">
        <v>2979.08</v>
      </c>
      <c r="F930" s="3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s="7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 s="5">
        <v>34</v>
      </c>
      <c r="C931">
        <v>64.959999999999994</v>
      </c>
      <c r="D931">
        <v>10</v>
      </c>
      <c r="E931" s="5">
        <v>2208.64</v>
      </c>
      <c r="F931" s="3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s="7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 s="5">
        <v>49</v>
      </c>
      <c r="C932">
        <v>70.58</v>
      </c>
      <c r="D932">
        <v>5</v>
      </c>
      <c r="E932" s="5">
        <v>3458.42</v>
      </c>
      <c r="F932" s="3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 s="7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 s="5">
        <v>28</v>
      </c>
      <c r="C933">
        <v>44.21</v>
      </c>
      <c r="D933">
        <v>6</v>
      </c>
      <c r="E933" s="5">
        <v>1237.8800000000001</v>
      </c>
      <c r="F933" s="3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 s="7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 s="5">
        <v>40</v>
      </c>
      <c r="C934">
        <v>68.08</v>
      </c>
      <c r="D934">
        <v>4</v>
      </c>
      <c r="E934" s="5">
        <v>2723.2</v>
      </c>
      <c r="F934" s="3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 s="7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 s="5">
        <v>37</v>
      </c>
      <c r="C935">
        <v>59.96</v>
      </c>
      <c r="D935">
        <v>3</v>
      </c>
      <c r="E935" s="5">
        <v>2218.52</v>
      </c>
      <c r="F935" s="3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s="7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 s="5">
        <v>31</v>
      </c>
      <c r="C936">
        <v>53.72</v>
      </c>
      <c r="D936">
        <v>3</v>
      </c>
      <c r="E936" s="5">
        <v>1665.32</v>
      </c>
      <c r="F936" s="3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s="7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 s="5">
        <v>41</v>
      </c>
      <c r="C937">
        <v>83.44</v>
      </c>
      <c r="D937">
        <v>18</v>
      </c>
      <c r="E937" s="5">
        <v>3421.04</v>
      </c>
      <c r="F937" s="3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s="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 s="5">
        <v>21</v>
      </c>
      <c r="C938">
        <v>89.46</v>
      </c>
      <c r="D938">
        <v>9</v>
      </c>
      <c r="E938" s="5">
        <v>1878.66</v>
      </c>
      <c r="F938" s="3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s="7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 s="5">
        <v>40</v>
      </c>
      <c r="C939">
        <v>96.34</v>
      </c>
      <c r="D939">
        <v>2</v>
      </c>
      <c r="E939" s="5">
        <v>3853.6</v>
      </c>
      <c r="F939" s="3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 s="7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 s="5">
        <v>46</v>
      </c>
      <c r="C940">
        <v>74.84</v>
      </c>
      <c r="D940">
        <v>13</v>
      </c>
      <c r="E940" s="5">
        <v>3442.64</v>
      </c>
      <c r="F940" s="3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 s="7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 s="5">
        <v>44</v>
      </c>
      <c r="C941">
        <v>79.14</v>
      </c>
      <c r="D941">
        <v>11</v>
      </c>
      <c r="E941" s="5">
        <v>3482.16</v>
      </c>
      <c r="F941" s="3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s="7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 s="5">
        <v>46</v>
      </c>
      <c r="C942">
        <v>73.12</v>
      </c>
      <c r="D942">
        <v>7</v>
      </c>
      <c r="E942" s="5">
        <v>3363.52</v>
      </c>
      <c r="F942" s="3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s="7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 s="5">
        <v>41</v>
      </c>
      <c r="C943">
        <v>81.72</v>
      </c>
      <c r="D943">
        <v>10</v>
      </c>
      <c r="E943" s="5">
        <v>3350.52</v>
      </c>
      <c r="F943" s="3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s="7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 s="5">
        <v>32</v>
      </c>
      <c r="C944">
        <v>89.46</v>
      </c>
      <c r="D944">
        <v>7</v>
      </c>
      <c r="E944" s="5">
        <v>2862.72</v>
      </c>
      <c r="F944" s="3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s="7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 s="5">
        <v>46</v>
      </c>
      <c r="C945">
        <v>87.74</v>
      </c>
      <c r="D945">
        <v>4</v>
      </c>
      <c r="E945" s="5">
        <v>4036.04</v>
      </c>
      <c r="F945" s="3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s="7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 s="5">
        <v>28</v>
      </c>
      <c r="C946">
        <v>100</v>
      </c>
      <c r="D946">
        <v>6</v>
      </c>
      <c r="E946" s="5">
        <v>2817.92</v>
      </c>
      <c r="F946" s="3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 s="7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 s="5">
        <v>49</v>
      </c>
      <c r="C947">
        <v>94.62</v>
      </c>
      <c r="D947">
        <v>10</v>
      </c>
      <c r="E947" s="5">
        <v>4636.38</v>
      </c>
      <c r="F947" s="3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 s="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 s="5">
        <v>21</v>
      </c>
      <c r="C948">
        <v>73.98</v>
      </c>
      <c r="D948">
        <v>1</v>
      </c>
      <c r="E948" s="5">
        <v>1553.58</v>
      </c>
      <c r="F948" s="3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 s="7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 s="5">
        <v>32</v>
      </c>
      <c r="C949">
        <v>84.3</v>
      </c>
      <c r="D949">
        <v>15</v>
      </c>
      <c r="E949" s="5">
        <v>2697.6</v>
      </c>
      <c r="F949" s="3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s="7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 s="5">
        <v>34</v>
      </c>
      <c r="C950">
        <v>98.06</v>
      </c>
      <c r="D950">
        <v>2</v>
      </c>
      <c r="E950" s="5">
        <v>3334.04</v>
      </c>
      <c r="F950" s="3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s="7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 s="5">
        <v>21</v>
      </c>
      <c r="C951">
        <v>98.06</v>
      </c>
      <c r="D951">
        <v>4</v>
      </c>
      <c r="E951" s="5">
        <v>2059.2600000000002</v>
      </c>
      <c r="F951" s="3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s="7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 s="5">
        <v>21</v>
      </c>
      <c r="C952">
        <v>96.34</v>
      </c>
      <c r="D952">
        <v>13</v>
      </c>
      <c r="E952" s="5">
        <v>2023.14</v>
      </c>
      <c r="F952" s="3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s="7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 s="5">
        <v>31</v>
      </c>
      <c r="C953">
        <v>83.44</v>
      </c>
      <c r="D953">
        <v>7</v>
      </c>
      <c r="E953" s="5">
        <v>2586.64</v>
      </c>
      <c r="F953" s="3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 s="7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 s="5">
        <v>21</v>
      </c>
      <c r="C954">
        <v>94.62</v>
      </c>
      <c r="D954">
        <v>15</v>
      </c>
      <c r="E954" s="5">
        <v>1987.02</v>
      </c>
      <c r="F954" s="3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s="7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 s="5">
        <v>25</v>
      </c>
      <c r="C955">
        <v>45.86</v>
      </c>
      <c r="D955">
        <v>5</v>
      </c>
      <c r="E955" s="5">
        <v>1146.5</v>
      </c>
      <c r="F955" s="3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s="7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 s="5">
        <v>28</v>
      </c>
      <c r="C956">
        <v>82.58</v>
      </c>
      <c r="D956">
        <v>3</v>
      </c>
      <c r="E956" s="5">
        <v>2312.2399999999998</v>
      </c>
      <c r="F956" s="3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s="7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 s="5">
        <v>43</v>
      </c>
      <c r="C957">
        <v>64.97</v>
      </c>
      <c r="D957">
        <v>6</v>
      </c>
      <c r="E957" s="5">
        <v>2793.71</v>
      </c>
      <c r="F957" s="3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s="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 s="5">
        <v>22</v>
      </c>
      <c r="C958">
        <v>86.74</v>
      </c>
      <c r="D958">
        <v>5</v>
      </c>
      <c r="E958" s="5">
        <v>1908.28</v>
      </c>
      <c r="F958" s="3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s="7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 s="5">
        <v>37</v>
      </c>
      <c r="C959">
        <v>93.01</v>
      </c>
      <c r="D959">
        <v>5</v>
      </c>
      <c r="E959" s="5">
        <v>3441.37</v>
      </c>
      <c r="F959" s="3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s="7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 s="5">
        <v>28</v>
      </c>
      <c r="C960">
        <v>72.260000000000005</v>
      </c>
      <c r="D960">
        <v>18</v>
      </c>
      <c r="E960" s="5">
        <v>2023.28</v>
      </c>
      <c r="F960" s="3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s="7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 s="5">
        <v>30</v>
      </c>
      <c r="C961">
        <v>74.84</v>
      </c>
      <c r="D961">
        <v>7</v>
      </c>
      <c r="E961" s="5">
        <v>2245.1999999999998</v>
      </c>
      <c r="F961" s="3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 s="7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 s="5">
        <v>44</v>
      </c>
      <c r="C962">
        <v>73.98</v>
      </c>
      <c r="D962">
        <v>1</v>
      </c>
      <c r="E962" s="5">
        <v>3255.12</v>
      </c>
      <c r="F962" s="3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 s="7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 s="5">
        <v>25</v>
      </c>
      <c r="C963">
        <v>100</v>
      </c>
      <c r="D963">
        <v>13</v>
      </c>
      <c r="E963" s="5">
        <v>2539.5</v>
      </c>
      <c r="F963" s="3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s="7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 s="5">
        <v>43</v>
      </c>
      <c r="C964">
        <v>100</v>
      </c>
      <c r="D964">
        <v>1</v>
      </c>
      <c r="E964" s="5">
        <v>4818.1499999999996</v>
      </c>
      <c r="F964" s="3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 s="7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 s="5">
        <v>30</v>
      </c>
      <c r="C965">
        <v>97.39</v>
      </c>
      <c r="D965">
        <v>13</v>
      </c>
      <c r="E965" s="5">
        <v>2921.7</v>
      </c>
      <c r="F965" s="3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s="7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 s="5">
        <v>20</v>
      </c>
      <c r="C966">
        <v>90.06</v>
      </c>
      <c r="D966">
        <v>2</v>
      </c>
      <c r="E966" s="5">
        <v>1801.2</v>
      </c>
      <c r="F966" s="3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s="7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 s="5">
        <v>26</v>
      </c>
      <c r="C967">
        <v>100</v>
      </c>
      <c r="D967">
        <v>10</v>
      </c>
      <c r="E967" s="5">
        <v>2804.36</v>
      </c>
      <c r="F967" s="3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s="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 s="5">
        <v>40</v>
      </c>
      <c r="C968">
        <v>100</v>
      </c>
      <c r="D968">
        <v>3</v>
      </c>
      <c r="E968" s="5">
        <v>4900.8</v>
      </c>
      <c r="F968" s="3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 s="7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 s="5">
        <v>31</v>
      </c>
      <c r="C969">
        <v>89.01</v>
      </c>
      <c r="D969">
        <v>1</v>
      </c>
      <c r="E969" s="5">
        <v>2759.31</v>
      </c>
      <c r="F969" s="3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s="7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 s="5">
        <v>22</v>
      </c>
      <c r="C970">
        <v>100</v>
      </c>
      <c r="D970">
        <v>10</v>
      </c>
      <c r="E970" s="5">
        <v>2488.1999999999998</v>
      </c>
      <c r="F970" s="3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 s="7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 s="5">
        <v>23</v>
      </c>
      <c r="C971">
        <v>100</v>
      </c>
      <c r="D971">
        <v>2</v>
      </c>
      <c r="E971" s="5">
        <v>2769.89</v>
      </c>
      <c r="F971" s="3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s="7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 s="5">
        <v>30</v>
      </c>
      <c r="C972">
        <v>100</v>
      </c>
      <c r="D972">
        <v>8</v>
      </c>
      <c r="E972" s="5">
        <v>3581.4</v>
      </c>
      <c r="F972" s="3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s="7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 s="5">
        <v>49</v>
      </c>
      <c r="C973">
        <v>100</v>
      </c>
      <c r="D973">
        <v>5</v>
      </c>
      <c r="E973" s="5">
        <v>5285.14</v>
      </c>
      <c r="F973" s="3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 s="7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 s="5">
        <v>31</v>
      </c>
      <c r="C974">
        <v>100</v>
      </c>
      <c r="D974">
        <v>4</v>
      </c>
      <c r="E974" s="5">
        <v>3181.53</v>
      </c>
      <c r="F974" s="3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 s="7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 s="5">
        <v>29</v>
      </c>
      <c r="C975">
        <v>100</v>
      </c>
      <c r="D975">
        <v>2</v>
      </c>
      <c r="E975" s="5">
        <v>3340.51</v>
      </c>
      <c r="F975" s="3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s="7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 s="5">
        <v>37</v>
      </c>
      <c r="C976">
        <v>84.82</v>
      </c>
      <c r="D976">
        <v>2</v>
      </c>
      <c r="E976" s="5">
        <v>3138.34</v>
      </c>
      <c r="F976" s="3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 s="7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 s="5">
        <v>38</v>
      </c>
      <c r="C977">
        <v>100</v>
      </c>
      <c r="D977">
        <v>11</v>
      </c>
      <c r="E977" s="5">
        <v>4775.08</v>
      </c>
      <c r="F977" s="3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s="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 s="5">
        <v>29</v>
      </c>
      <c r="C978">
        <v>100</v>
      </c>
      <c r="D978">
        <v>4</v>
      </c>
      <c r="E978" s="5">
        <v>3006.43</v>
      </c>
      <c r="F978" s="3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s="7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 s="5">
        <v>23</v>
      </c>
      <c r="C979">
        <v>100</v>
      </c>
      <c r="D979">
        <v>13</v>
      </c>
      <c r="E979" s="5">
        <v>2866.26</v>
      </c>
      <c r="F979" s="3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s="7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 s="5">
        <v>26</v>
      </c>
      <c r="C980">
        <v>85.87</v>
      </c>
      <c r="D980">
        <v>8</v>
      </c>
      <c r="E980" s="5">
        <v>2232.62</v>
      </c>
      <c r="F980" s="3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s="7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 s="5">
        <v>38</v>
      </c>
      <c r="C981">
        <v>100</v>
      </c>
      <c r="D981">
        <v>5</v>
      </c>
      <c r="E981" s="5">
        <v>4457.0200000000004</v>
      </c>
      <c r="F981" s="3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 s="7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 s="5">
        <v>48</v>
      </c>
      <c r="C982">
        <v>47.04</v>
      </c>
      <c r="D982">
        <v>7</v>
      </c>
      <c r="E982" s="5">
        <v>2257.92</v>
      </c>
      <c r="F982" s="3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 s="7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 s="5">
        <v>40</v>
      </c>
      <c r="C983">
        <v>39.799999999999997</v>
      </c>
      <c r="D983">
        <v>18</v>
      </c>
      <c r="E983" s="5">
        <v>1592</v>
      </c>
      <c r="F983" s="3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s="7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 s="5">
        <v>45</v>
      </c>
      <c r="C984">
        <v>100</v>
      </c>
      <c r="D984">
        <v>11</v>
      </c>
      <c r="E984" s="5">
        <v>4948.2</v>
      </c>
      <c r="F984" s="3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s="7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 s="5">
        <v>44</v>
      </c>
      <c r="C985">
        <v>100</v>
      </c>
      <c r="D985">
        <v>4</v>
      </c>
      <c r="E985" s="5">
        <v>5160.76</v>
      </c>
      <c r="F985" s="3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 s="7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 s="5">
        <v>21</v>
      </c>
      <c r="C986">
        <v>94.22</v>
      </c>
      <c r="D986">
        <v>5</v>
      </c>
      <c r="E986" s="5">
        <v>1978.62</v>
      </c>
      <c r="F986" s="3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 s="7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 s="5">
        <v>35</v>
      </c>
      <c r="C987">
        <v>100</v>
      </c>
      <c r="D987">
        <v>5</v>
      </c>
      <c r="E987" s="5">
        <v>4288.2</v>
      </c>
      <c r="F987" s="3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 s="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 s="5">
        <v>29</v>
      </c>
      <c r="C988">
        <v>86.92</v>
      </c>
      <c r="D988">
        <v>2</v>
      </c>
      <c r="E988" s="5">
        <v>2520.6799999999998</v>
      </c>
      <c r="F988" s="3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s="7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 s="5">
        <v>21</v>
      </c>
      <c r="C989">
        <v>84.82</v>
      </c>
      <c r="D989">
        <v>2</v>
      </c>
      <c r="E989" s="5">
        <v>1781.22</v>
      </c>
      <c r="F989" s="3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s="7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 s="5">
        <v>22</v>
      </c>
      <c r="C990">
        <v>100</v>
      </c>
      <c r="D990">
        <v>11</v>
      </c>
      <c r="E990" s="5">
        <v>3065.04</v>
      </c>
      <c r="F990" s="3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s="7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 s="5">
        <v>26</v>
      </c>
      <c r="C991">
        <v>100</v>
      </c>
      <c r="D991">
        <v>5</v>
      </c>
      <c r="E991" s="5">
        <v>3551.34</v>
      </c>
      <c r="F991" s="3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s="7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 s="5">
        <v>41</v>
      </c>
      <c r="C992">
        <v>100</v>
      </c>
      <c r="D992">
        <v>2</v>
      </c>
      <c r="E992" s="5">
        <v>5544.02</v>
      </c>
      <c r="F992" s="3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s="7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 s="5">
        <v>47</v>
      </c>
      <c r="C993">
        <v>100</v>
      </c>
      <c r="D993">
        <v>8</v>
      </c>
      <c r="E993" s="5">
        <v>6034.33</v>
      </c>
      <c r="F993" s="3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 s="7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 s="5">
        <v>31</v>
      </c>
      <c r="C994">
        <v>100</v>
      </c>
      <c r="D994">
        <v>7</v>
      </c>
      <c r="E994" s="5">
        <v>3641.57</v>
      </c>
      <c r="F994" s="3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s="7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 s="5">
        <v>43</v>
      </c>
      <c r="C995">
        <v>100</v>
      </c>
      <c r="D995">
        <v>2</v>
      </c>
      <c r="E995" s="5">
        <v>6930.74</v>
      </c>
      <c r="F995" s="3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 s="7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 s="5">
        <v>23</v>
      </c>
      <c r="C996">
        <v>100</v>
      </c>
      <c r="D996">
        <v>9</v>
      </c>
      <c r="E996" s="5">
        <v>3675.63</v>
      </c>
      <c r="F996" s="3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s="7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 s="5">
        <v>28</v>
      </c>
      <c r="C997">
        <v>100</v>
      </c>
      <c r="D997">
        <v>9</v>
      </c>
      <c r="E997" s="5">
        <v>3442.04</v>
      </c>
      <c r="F997" s="3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 s="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 s="5">
        <v>49</v>
      </c>
      <c r="C998">
        <v>100</v>
      </c>
      <c r="D998">
        <v>1</v>
      </c>
      <c r="E998" s="5">
        <v>6893.81</v>
      </c>
      <c r="F998" s="3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 s="7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 s="5">
        <v>24</v>
      </c>
      <c r="C999">
        <v>100</v>
      </c>
      <c r="D999">
        <v>9</v>
      </c>
      <c r="E999" s="5">
        <v>2622.48</v>
      </c>
      <c r="F999" s="3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s="7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 s="5">
        <v>33</v>
      </c>
      <c r="C1000">
        <v>100</v>
      </c>
      <c r="D1000">
        <v>3</v>
      </c>
      <c r="E1000" s="5">
        <v>4417.38</v>
      </c>
      <c r="F1000" s="3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s="7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 s="5">
        <v>22</v>
      </c>
      <c r="C1001">
        <v>100</v>
      </c>
      <c r="D1001">
        <v>6</v>
      </c>
      <c r="E1001" s="5">
        <v>3606.02</v>
      </c>
      <c r="F1001" s="3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s="7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 s="5">
        <v>32</v>
      </c>
      <c r="C1002">
        <v>100</v>
      </c>
      <c r="D1002">
        <v>12</v>
      </c>
      <c r="E1002" s="5">
        <v>3802.56</v>
      </c>
      <c r="F1002" s="3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 s="7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 s="5">
        <v>40</v>
      </c>
      <c r="C1003">
        <v>100</v>
      </c>
      <c r="D1003">
        <v>13</v>
      </c>
      <c r="E1003" s="5">
        <v>5026.3999999999996</v>
      </c>
      <c r="F1003" s="3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s="7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 s="5">
        <v>43</v>
      </c>
      <c r="C1004">
        <v>100</v>
      </c>
      <c r="D1004">
        <v>1</v>
      </c>
      <c r="E1004" s="5">
        <v>6695.53</v>
      </c>
      <c r="F1004" s="3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 s="7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 s="5">
        <v>24</v>
      </c>
      <c r="C1005">
        <v>100</v>
      </c>
      <c r="D1005">
        <v>4</v>
      </c>
      <c r="E1005" s="5">
        <v>2819.28</v>
      </c>
      <c r="F1005" s="3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s="7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 s="5">
        <v>32</v>
      </c>
      <c r="C1006">
        <v>100</v>
      </c>
      <c r="D1006">
        <v>9</v>
      </c>
      <c r="E1006" s="5">
        <v>3759.04</v>
      </c>
      <c r="F1006" s="3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s="7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 s="5">
        <v>20</v>
      </c>
      <c r="C1007">
        <v>100</v>
      </c>
      <c r="D1007">
        <v>1</v>
      </c>
      <c r="E1007" s="5">
        <v>2731.8</v>
      </c>
      <c r="F1007" s="3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s="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 s="5">
        <v>24</v>
      </c>
      <c r="C1008">
        <v>69.12</v>
      </c>
      <c r="D1008">
        <v>9</v>
      </c>
      <c r="E1008" s="5">
        <v>1658.88</v>
      </c>
      <c r="F1008" s="3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s="7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 s="5">
        <v>48</v>
      </c>
      <c r="C1009">
        <v>100</v>
      </c>
      <c r="D1009">
        <v>12</v>
      </c>
      <c r="E1009" s="5">
        <v>5778.24</v>
      </c>
      <c r="F1009" s="3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s="7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 s="5">
        <v>44</v>
      </c>
      <c r="C1010">
        <v>100</v>
      </c>
      <c r="D1010">
        <v>1</v>
      </c>
      <c r="E1010" s="5">
        <v>5191.12</v>
      </c>
      <c r="F1010" s="3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s="7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 s="5">
        <v>28</v>
      </c>
      <c r="C1011">
        <v>100</v>
      </c>
      <c r="D1011">
        <v>3</v>
      </c>
      <c r="E1011" s="5">
        <v>3862.88</v>
      </c>
      <c r="F1011" s="3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s="7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 s="5">
        <v>24</v>
      </c>
      <c r="C1012">
        <v>61.52</v>
      </c>
      <c r="D1012">
        <v>9</v>
      </c>
      <c r="E1012" s="5">
        <v>1476.48</v>
      </c>
      <c r="F1012" s="3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s="7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 s="5">
        <v>33</v>
      </c>
      <c r="C1013">
        <v>100</v>
      </c>
      <c r="D1013">
        <v>2</v>
      </c>
      <c r="E1013" s="5">
        <v>5273.73</v>
      </c>
      <c r="F1013" s="3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 s="7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 s="5">
        <v>41</v>
      </c>
      <c r="C1014">
        <v>100</v>
      </c>
      <c r="D1014">
        <v>12</v>
      </c>
      <c r="E1014" s="5">
        <v>4872.03</v>
      </c>
      <c r="F1014" s="3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 s="7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 s="5">
        <v>23</v>
      </c>
      <c r="C1015">
        <v>100</v>
      </c>
      <c r="D1015">
        <v>13</v>
      </c>
      <c r="E1015" s="5">
        <v>4556.99</v>
      </c>
      <c r="F1015" s="3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s="7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 s="5">
        <v>46</v>
      </c>
      <c r="C1016">
        <v>100</v>
      </c>
      <c r="D1016">
        <v>5</v>
      </c>
      <c r="E1016" s="5">
        <v>8257</v>
      </c>
      <c r="F1016" s="3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 s="7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 s="5">
        <v>48</v>
      </c>
      <c r="C1017">
        <v>100</v>
      </c>
      <c r="D1017">
        <v>4</v>
      </c>
      <c r="E1017" s="5">
        <v>8209.44</v>
      </c>
      <c r="F1017" s="3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s="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 s="5">
        <v>25</v>
      </c>
      <c r="C1018">
        <v>100</v>
      </c>
      <c r="D1018">
        <v>3</v>
      </c>
      <c r="E1018" s="5">
        <v>3598.5</v>
      </c>
      <c r="F1018" s="3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s="7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 s="5">
        <v>22</v>
      </c>
      <c r="C1019">
        <v>100</v>
      </c>
      <c r="D1019">
        <v>15</v>
      </c>
      <c r="E1019" s="5">
        <v>3837.24</v>
      </c>
      <c r="F1019" s="3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 s="7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 s="5">
        <v>41</v>
      </c>
      <c r="C1020">
        <v>100</v>
      </c>
      <c r="D1020">
        <v>3</v>
      </c>
      <c r="E1020" s="5">
        <v>8331.61</v>
      </c>
      <c r="F1020" s="3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s="7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 s="5">
        <v>34</v>
      </c>
      <c r="C1021">
        <v>100</v>
      </c>
      <c r="D1021">
        <v>9</v>
      </c>
      <c r="E1021" s="5">
        <v>4836.5</v>
      </c>
      <c r="F1021" s="3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s="7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 s="5">
        <v>32</v>
      </c>
      <c r="C1022">
        <v>100</v>
      </c>
      <c r="D1022">
        <v>14</v>
      </c>
      <c r="E1022" s="5">
        <v>5418.88</v>
      </c>
      <c r="F1022" s="3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s="7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 s="5">
        <v>21</v>
      </c>
      <c r="C1023">
        <v>100</v>
      </c>
      <c r="D1023">
        <v>7</v>
      </c>
      <c r="E1023" s="5">
        <v>3734.01</v>
      </c>
      <c r="F1023" s="3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s="7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 s="5">
        <v>20</v>
      </c>
      <c r="C1024">
        <v>100</v>
      </c>
      <c r="D1024">
        <v>1</v>
      </c>
      <c r="E1024" s="5">
        <v>3996.4</v>
      </c>
      <c r="F1024" s="3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 s="7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 s="5">
        <v>47</v>
      </c>
      <c r="C1025">
        <v>100</v>
      </c>
      <c r="D1025">
        <v>16</v>
      </c>
      <c r="E1025" s="5">
        <v>8754.69</v>
      </c>
      <c r="F1025" s="3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s="7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 s="5">
        <v>39</v>
      </c>
      <c r="C1026">
        <v>100</v>
      </c>
      <c r="D1026">
        <v>3</v>
      </c>
      <c r="E1026" s="5">
        <v>5481.45</v>
      </c>
      <c r="F1026" s="3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s="7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 s="5">
        <v>29</v>
      </c>
      <c r="C1027">
        <v>100</v>
      </c>
      <c r="D1027">
        <v>5</v>
      </c>
      <c r="E1027" s="5">
        <v>4419.8900000000003</v>
      </c>
      <c r="F1027" s="3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s="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 s="5">
        <v>45</v>
      </c>
      <c r="C1028">
        <v>100</v>
      </c>
      <c r="D1028">
        <v>7</v>
      </c>
      <c r="E1028" s="5">
        <v>6324.75</v>
      </c>
      <c r="F1028" s="3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s="7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 s="5">
        <v>28</v>
      </c>
      <c r="C1029">
        <v>100</v>
      </c>
      <c r="D1029">
        <v>10</v>
      </c>
      <c r="E1029" s="5">
        <v>4409.72</v>
      </c>
      <c r="F1029" s="3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s="7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 s="5">
        <v>26</v>
      </c>
      <c r="C1030">
        <v>100</v>
      </c>
      <c r="D1030">
        <v>12</v>
      </c>
      <c r="E1030" s="5">
        <v>3918.46</v>
      </c>
      <c r="F1030" s="3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 s="7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 s="5">
        <v>50</v>
      </c>
      <c r="C1031">
        <v>100</v>
      </c>
      <c r="D1031">
        <v>10</v>
      </c>
      <c r="E1031" s="5">
        <v>7620.5</v>
      </c>
      <c r="F1031" s="3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 s="7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 s="5">
        <v>48</v>
      </c>
      <c r="C1032">
        <v>100</v>
      </c>
      <c r="D1032">
        <v>1</v>
      </c>
      <c r="E1032" s="5">
        <v>8291.0400000000009</v>
      </c>
      <c r="F1032" s="3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s="7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 s="5">
        <v>25</v>
      </c>
      <c r="C1033">
        <v>100</v>
      </c>
      <c r="D1033">
        <v>11</v>
      </c>
      <c r="E1033" s="5">
        <v>3937.25</v>
      </c>
      <c r="F1033" s="3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 s="7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 s="5">
        <v>40</v>
      </c>
      <c r="C1034">
        <v>100</v>
      </c>
      <c r="D1034">
        <v>11</v>
      </c>
      <c r="E1034" s="5">
        <v>5554.4</v>
      </c>
      <c r="F1034" s="3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s="7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 s="5">
        <v>43</v>
      </c>
      <c r="C1035">
        <v>100</v>
      </c>
      <c r="D1035">
        <v>2</v>
      </c>
      <c r="E1035" s="5">
        <v>6407.86</v>
      </c>
      <c r="F1035" s="3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s="7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 s="5">
        <v>22</v>
      </c>
      <c r="C1036">
        <v>100</v>
      </c>
      <c r="D1036">
        <v>5</v>
      </c>
      <c r="E1036" s="5">
        <v>4172.5200000000004</v>
      </c>
      <c r="F1036" s="3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 s="7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 s="5">
        <v>47</v>
      </c>
      <c r="C1037">
        <v>100</v>
      </c>
      <c r="D1037">
        <v>1</v>
      </c>
      <c r="E1037" s="5">
        <v>7083.37</v>
      </c>
      <c r="F1037" s="3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s="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 s="5">
        <v>36</v>
      </c>
      <c r="C1038">
        <v>100</v>
      </c>
      <c r="D1038">
        <v>9</v>
      </c>
      <c r="E1038" s="5">
        <v>7132.68</v>
      </c>
      <c r="F1038" s="3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s="7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 s="5">
        <v>40</v>
      </c>
      <c r="C1039">
        <v>100</v>
      </c>
      <c r="D1039">
        <v>6</v>
      </c>
      <c r="E1039" s="5">
        <v>6773.6</v>
      </c>
      <c r="F1039" s="3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s="7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 s="5">
        <v>27</v>
      </c>
      <c r="C1040">
        <v>100</v>
      </c>
      <c r="D1040">
        <v>8</v>
      </c>
      <c r="E1040" s="5">
        <v>3657.69</v>
      </c>
      <c r="F1040" s="3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s="7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 s="5">
        <v>29</v>
      </c>
      <c r="C1041">
        <v>100</v>
      </c>
      <c r="D1041">
        <v>7</v>
      </c>
      <c r="E1041" s="5">
        <v>4812.55</v>
      </c>
      <c r="F1041" s="3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s="7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 s="5">
        <v>20</v>
      </c>
      <c r="C1042">
        <v>100</v>
      </c>
      <c r="D1042">
        <v>9</v>
      </c>
      <c r="E1042" s="5">
        <v>3928.6</v>
      </c>
      <c r="F1042" s="3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 s="7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 s="5">
        <v>42</v>
      </c>
      <c r="C1043">
        <v>100</v>
      </c>
      <c r="D1043">
        <v>7</v>
      </c>
      <c r="E1043" s="5">
        <v>6401.22</v>
      </c>
      <c r="F1043" s="3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 s="7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 s="5">
        <v>25</v>
      </c>
      <c r="C1044">
        <v>100</v>
      </c>
      <c r="D1044">
        <v>5</v>
      </c>
      <c r="E1044" s="5">
        <v>4191.25</v>
      </c>
      <c r="F1044" s="3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 s="7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 s="5">
        <v>36</v>
      </c>
      <c r="C1045">
        <v>100</v>
      </c>
      <c r="D1045">
        <v>5</v>
      </c>
      <c r="E1045" s="5">
        <v>5852.52</v>
      </c>
      <c r="F1045" s="3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s="7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 s="5">
        <v>21</v>
      </c>
      <c r="C1046">
        <v>100</v>
      </c>
      <c r="D1046">
        <v>12</v>
      </c>
      <c r="E1046" s="5">
        <v>2844.87</v>
      </c>
      <c r="F1046" s="3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 s="7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 s="5">
        <v>23</v>
      </c>
      <c r="C1047">
        <v>100</v>
      </c>
      <c r="D1047">
        <v>9</v>
      </c>
      <c r="E1047" s="5">
        <v>4011.66</v>
      </c>
      <c r="F1047" s="3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s="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 s="5">
        <v>37</v>
      </c>
      <c r="C1048">
        <v>100</v>
      </c>
      <c r="D1048">
        <v>9</v>
      </c>
      <c r="E1048" s="5">
        <v>7455.87</v>
      </c>
      <c r="F1048" s="3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 s="7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 s="5">
        <v>48</v>
      </c>
      <c r="C1049">
        <v>100</v>
      </c>
      <c r="D1049">
        <v>3</v>
      </c>
      <c r="E1049" s="5">
        <v>8940.9599999999991</v>
      </c>
      <c r="F1049" s="3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s="7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 s="5">
        <v>25</v>
      </c>
      <c r="C1050">
        <v>100</v>
      </c>
      <c r="D1050">
        <v>3</v>
      </c>
      <c r="E1050" s="5">
        <v>4572.25</v>
      </c>
      <c r="F1050" s="3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s="7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 s="5">
        <v>33</v>
      </c>
      <c r="C1051">
        <v>100</v>
      </c>
      <c r="D1051">
        <v>11</v>
      </c>
      <c r="E1051" s="5">
        <v>5700.09</v>
      </c>
      <c r="F1051" s="3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 s="7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 s="5">
        <v>27</v>
      </c>
      <c r="C1052">
        <v>100</v>
      </c>
      <c r="D1052">
        <v>12</v>
      </c>
      <c r="E1052" s="5">
        <v>3155.49</v>
      </c>
      <c r="F1052" s="3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 s="7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 s="5">
        <v>27</v>
      </c>
      <c r="C1053">
        <v>100</v>
      </c>
      <c r="D1053">
        <v>11</v>
      </c>
      <c r="E1053" s="5">
        <v>4170.6899999999996</v>
      </c>
      <c r="F1053" s="3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 s="7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 s="5">
        <v>20</v>
      </c>
      <c r="C1054">
        <v>100</v>
      </c>
      <c r="D1054">
        <v>3</v>
      </c>
      <c r="E1054" s="5">
        <v>2878.8</v>
      </c>
      <c r="F1054" s="3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s="7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 s="5">
        <v>30</v>
      </c>
      <c r="C1055">
        <v>100</v>
      </c>
      <c r="D1055">
        <v>4</v>
      </c>
      <c r="E1055" s="5">
        <v>5029.5</v>
      </c>
      <c r="F1055" s="3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s="7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 s="5">
        <v>48</v>
      </c>
      <c r="C1056">
        <v>100</v>
      </c>
      <c r="D1056">
        <v>6</v>
      </c>
      <c r="E1056" s="5">
        <v>7396.8</v>
      </c>
      <c r="F1056" s="3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 s="7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 s="5">
        <v>32</v>
      </c>
      <c r="C1057">
        <v>93.49</v>
      </c>
      <c r="D1057">
        <v>12</v>
      </c>
      <c r="E1057" s="5">
        <v>2991.68</v>
      </c>
      <c r="F1057" s="3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s="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 s="5">
        <v>34</v>
      </c>
      <c r="C1058">
        <v>100</v>
      </c>
      <c r="D1058">
        <v>1</v>
      </c>
      <c r="E1058" s="5">
        <v>6275.72</v>
      </c>
      <c r="F1058" s="3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s="7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 s="5">
        <v>27</v>
      </c>
      <c r="C1059">
        <v>56.85</v>
      </c>
      <c r="D1059">
        <v>9</v>
      </c>
      <c r="E1059" s="5">
        <v>1534.95</v>
      </c>
      <c r="F1059" s="3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s="7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 s="5">
        <v>39</v>
      </c>
      <c r="C1060">
        <v>100</v>
      </c>
      <c r="D1060">
        <v>3</v>
      </c>
      <c r="E1060" s="5">
        <v>7264.53</v>
      </c>
      <c r="F1060" s="3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s="7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 s="5">
        <v>47</v>
      </c>
      <c r="C1061">
        <v>100</v>
      </c>
      <c r="D1061">
        <v>6</v>
      </c>
      <c r="E1061" s="5">
        <v>6869.05</v>
      </c>
      <c r="F1061" s="3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s="7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 s="5">
        <v>22</v>
      </c>
      <c r="C1062">
        <v>100</v>
      </c>
      <c r="D1062">
        <v>5</v>
      </c>
      <c r="E1062" s="5">
        <v>3353.02</v>
      </c>
      <c r="F1062" s="3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s="7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 s="5">
        <v>55</v>
      </c>
      <c r="C1063">
        <v>100</v>
      </c>
      <c r="D1063">
        <v>1</v>
      </c>
      <c r="E1063" s="5">
        <v>8289.0499999999993</v>
      </c>
      <c r="F1063" s="3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s="7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 s="5">
        <v>60</v>
      </c>
      <c r="C1064">
        <v>100</v>
      </c>
      <c r="D1064">
        <v>9</v>
      </c>
      <c r="E1064" s="5">
        <v>11887.8</v>
      </c>
      <c r="F1064" s="3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s="7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 s="5">
        <v>35</v>
      </c>
      <c r="C1065">
        <v>100</v>
      </c>
      <c r="D1065">
        <v>6</v>
      </c>
      <c r="E1065" s="5">
        <v>5926.9</v>
      </c>
      <c r="F1065" s="3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s="7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 s="5">
        <v>28</v>
      </c>
      <c r="C1066">
        <v>100</v>
      </c>
      <c r="D1066">
        <v>8</v>
      </c>
      <c r="E1066" s="5">
        <v>3793.16</v>
      </c>
      <c r="F1066" s="3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s="7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 s="5">
        <v>38</v>
      </c>
      <c r="C1067">
        <v>100</v>
      </c>
      <c r="D1067">
        <v>13</v>
      </c>
      <c r="E1067" s="5">
        <v>4330.1000000000004</v>
      </c>
      <c r="F1067" s="3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s="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 s="5">
        <v>21</v>
      </c>
      <c r="C1068">
        <v>95.8</v>
      </c>
      <c r="D1068">
        <v>7</v>
      </c>
      <c r="E1068" s="5">
        <v>2011.8</v>
      </c>
      <c r="F1068" s="3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s="7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 s="5">
        <v>41</v>
      </c>
      <c r="C1069">
        <v>100</v>
      </c>
      <c r="D1069">
        <v>4</v>
      </c>
      <c r="E1069" s="5">
        <v>4837.18</v>
      </c>
      <c r="F1069" s="3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s="7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 s="5">
        <v>22</v>
      </c>
      <c r="C1070">
        <v>97.81</v>
      </c>
      <c r="D1070">
        <v>10</v>
      </c>
      <c r="E1070" s="5">
        <v>2151.8200000000002</v>
      </c>
      <c r="F1070" s="3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 s="7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 s="5">
        <v>29</v>
      </c>
      <c r="C1071">
        <v>88.74</v>
      </c>
      <c r="D1071">
        <v>9</v>
      </c>
      <c r="E1071" s="5">
        <v>2573.46</v>
      </c>
      <c r="F1071" s="3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s="7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 s="5">
        <v>50</v>
      </c>
      <c r="C1072">
        <v>100</v>
      </c>
      <c r="D1072">
        <v>1</v>
      </c>
      <c r="E1072" s="5">
        <v>5344.5</v>
      </c>
      <c r="F1072" s="3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s="7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 s="5">
        <v>29</v>
      </c>
      <c r="C1073">
        <v>100</v>
      </c>
      <c r="D1073">
        <v>11</v>
      </c>
      <c r="E1073" s="5">
        <v>3070.52</v>
      </c>
      <c r="F1073" s="3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s="7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 s="5">
        <v>49</v>
      </c>
      <c r="C1074">
        <v>80.67</v>
      </c>
      <c r="D1074">
        <v>11</v>
      </c>
      <c r="E1074" s="5">
        <v>3952.83</v>
      </c>
      <c r="F1074" s="3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 s="7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 s="5">
        <v>35</v>
      </c>
      <c r="C1075">
        <v>100</v>
      </c>
      <c r="D1075">
        <v>3</v>
      </c>
      <c r="E1075" s="5">
        <v>3564.75</v>
      </c>
      <c r="F1075" s="3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 s="7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 s="5">
        <v>48</v>
      </c>
      <c r="C1076">
        <v>100</v>
      </c>
      <c r="D1076">
        <v>11</v>
      </c>
      <c r="E1076" s="5">
        <v>5614.56</v>
      </c>
      <c r="F1076" s="3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s="7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 s="5">
        <v>23</v>
      </c>
      <c r="C1077">
        <v>80.67</v>
      </c>
      <c r="D1077">
        <v>5</v>
      </c>
      <c r="E1077" s="5">
        <v>1855.41</v>
      </c>
      <c r="F1077" s="3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s="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 s="5">
        <v>48</v>
      </c>
      <c r="C1078">
        <v>95.8</v>
      </c>
      <c r="D1078">
        <v>8</v>
      </c>
      <c r="E1078" s="5">
        <v>4598.3999999999996</v>
      </c>
      <c r="F1078" s="3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s="7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 s="5">
        <v>42</v>
      </c>
      <c r="C1079">
        <v>100</v>
      </c>
      <c r="D1079">
        <v>14</v>
      </c>
      <c r="E1079" s="5">
        <v>5082.42</v>
      </c>
      <c r="F1079" s="3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 s="7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 s="5">
        <v>47</v>
      </c>
      <c r="C1080">
        <v>100</v>
      </c>
      <c r="D1080">
        <v>15</v>
      </c>
      <c r="E1080" s="5">
        <v>5450.59</v>
      </c>
      <c r="F1080" s="3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s="7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 s="5">
        <v>36</v>
      </c>
      <c r="C1081">
        <v>100</v>
      </c>
      <c r="D1081">
        <v>3</v>
      </c>
      <c r="E1081" s="5">
        <v>4174.92</v>
      </c>
      <c r="F1081" s="3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 s="7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 s="5">
        <v>22</v>
      </c>
      <c r="C1082">
        <v>100</v>
      </c>
      <c r="D1082">
        <v>6</v>
      </c>
      <c r="E1082" s="5">
        <v>2418.2399999999998</v>
      </c>
      <c r="F1082" s="3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s="7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 s="5">
        <v>40</v>
      </c>
      <c r="C1083">
        <v>91.76</v>
      </c>
      <c r="D1083">
        <v>11</v>
      </c>
      <c r="E1083" s="5">
        <v>3670.4</v>
      </c>
      <c r="F1083" s="3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s="7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 s="5">
        <v>23</v>
      </c>
      <c r="C1084">
        <v>100</v>
      </c>
      <c r="D1084">
        <v>3</v>
      </c>
      <c r="E1084" s="5">
        <v>2481.6999999999998</v>
      </c>
      <c r="F1084" s="3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s="7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 s="5">
        <v>32</v>
      </c>
      <c r="C1085">
        <v>100</v>
      </c>
      <c r="D1085">
        <v>6</v>
      </c>
      <c r="E1085" s="5">
        <v>3807.68</v>
      </c>
      <c r="F1085" s="3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s="7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 s="5">
        <v>21</v>
      </c>
      <c r="C1086">
        <v>100</v>
      </c>
      <c r="D1086">
        <v>7</v>
      </c>
      <c r="E1086" s="5">
        <v>2230.41</v>
      </c>
      <c r="F1086" s="3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s="7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 s="5">
        <v>41</v>
      </c>
      <c r="C1087">
        <v>93.04</v>
      </c>
      <c r="D1087">
        <v>2</v>
      </c>
      <c r="E1087" s="5">
        <v>3814.64</v>
      </c>
      <c r="F1087" s="3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s="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 s="5">
        <v>25</v>
      </c>
      <c r="C1088">
        <v>84.71</v>
      </c>
      <c r="D1088">
        <v>5</v>
      </c>
      <c r="E1088" s="5">
        <v>2117.75</v>
      </c>
      <c r="F1088" s="3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s="7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 s="5">
        <v>26</v>
      </c>
      <c r="C1089">
        <v>100</v>
      </c>
      <c r="D1089">
        <v>12</v>
      </c>
      <c r="E1089" s="5">
        <v>3340.48</v>
      </c>
      <c r="F1089" s="3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s="7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 s="5">
        <v>24</v>
      </c>
      <c r="C1090">
        <v>89.75</v>
      </c>
      <c r="D1090">
        <v>4</v>
      </c>
      <c r="E1090" s="5">
        <v>2154</v>
      </c>
      <c r="F1090" s="3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 s="7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 s="5">
        <v>48</v>
      </c>
      <c r="C1091">
        <v>100</v>
      </c>
      <c r="D1091">
        <v>14</v>
      </c>
      <c r="E1091" s="5">
        <v>5808.48</v>
      </c>
      <c r="F1091" s="3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 s="7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 s="5">
        <v>26</v>
      </c>
      <c r="C1092">
        <v>68.349999999999994</v>
      </c>
      <c r="D1092">
        <v>9</v>
      </c>
      <c r="E1092" s="5">
        <v>1777.1</v>
      </c>
      <c r="F1092" s="3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s="7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 s="5">
        <v>21</v>
      </c>
      <c r="C1093">
        <v>73.17</v>
      </c>
      <c r="D1093">
        <v>13</v>
      </c>
      <c r="E1093" s="5">
        <v>1536.57</v>
      </c>
      <c r="F1093" s="3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s="7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 s="5">
        <v>45</v>
      </c>
      <c r="C1094">
        <v>78</v>
      </c>
      <c r="D1094">
        <v>10</v>
      </c>
      <c r="E1094" s="5">
        <v>3510</v>
      </c>
      <c r="F1094" s="3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 s="7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 s="5">
        <v>36</v>
      </c>
      <c r="C1095">
        <v>86.04</v>
      </c>
      <c r="D1095">
        <v>10</v>
      </c>
      <c r="E1095" s="5">
        <v>3097.44</v>
      </c>
      <c r="F1095" s="3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 s="7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 s="5">
        <v>21</v>
      </c>
      <c r="C1096">
        <v>81.209999999999994</v>
      </c>
      <c r="D1096">
        <v>5</v>
      </c>
      <c r="E1096" s="5">
        <v>1705.41</v>
      </c>
      <c r="F1096" s="3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 s="7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 s="5">
        <v>32</v>
      </c>
      <c r="C1097">
        <v>70.760000000000005</v>
      </c>
      <c r="D1097">
        <v>5</v>
      </c>
      <c r="E1097" s="5">
        <v>2264.3200000000002</v>
      </c>
      <c r="F1097" s="3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s="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 s="5">
        <v>30</v>
      </c>
      <c r="C1098">
        <v>82.82</v>
      </c>
      <c r="D1098">
        <v>17</v>
      </c>
      <c r="E1098" s="5">
        <v>2484.6</v>
      </c>
      <c r="F1098" s="3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s="7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 s="5">
        <v>36</v>
      </c>
      <c r="C1099">
        <v>94.88</v>
      </c>
      <c r="D1099">
        <v>6</v>
      </c>
      <c r="E1099" s="5">
        <v>3415.68</v>
      </c>
      <c r="F1099" s="3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s="7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 s="5">
        <v>33</v>
      </c>
      <c r="C1100">
        <v>86.04</v>
      </c>
      <c r="D1100">
        <v>11</v>
      </c>
      <c r="E1100" s="5">
        <v>2839.32</v>
      </c>
      <c r="F1100" s="3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s="7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 s="5">
        <v>35</v>
      </c>
      <c r="C1101">
        <v>78</v>
      </c>
      <c r="D1101">
        <v>5</v>
      </c>
      <c r="E1101" s="5">
        <v>2730</v>
      </c>
      <c r="F1101" s="3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s="7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 s="5">
        <v>37</v>
      </c>
      <c r="C1102">
        <v>95.69</v>
      </c>
      <c r="D1102">
        <v>12</v>
      </c>
      <c r="E1102" s="5">
        <v>3540.53</v>
      </c>
      <c r="F1102" s="3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s="7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 s="5">
        <v>41</v>
      </c>
      <c r="C1103">
        <v>73.17</v>
      </c>
      <c r="D1103">
        <v>6</v>
      </c>
      <c r="E1103" s="5">
        <v>2999.97</v>
      </c>
      <c r="F1103" s="3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s="7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 s="5">
        <v>20</v>
      </c>
      <c r="C1104">
        <v>76.39</v>
      </c>
      <c r="D1104">
        <v>2</v>
      </c>
      <c r="E1104" s="5">
        <v>1527.8</v>
      </c>
      <c r="F1104" s="3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s="7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 s="5">
        <v>45</v>
      </c>
      <c r="C1105">
        <v>86.84</v>
      </c>
      <c r="D1105">
        <v>2</v>
      </c>
      <c r="E1105" s="5">
        <v>3907.8</v>
      </c>
      <c r="F1105" s="3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s="7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 s="5">
        <v>38</v>
      </c>
      <c r="C1106">
        <v>69.959999999999994</v>
      </c>
      <c r="D1106">
        <v>6</v>
      </c>
      <c r="E1106" s="5">
        <v>2658.48</v>
      </c>
      <c r="F1106" s="3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 s="7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 s="5">
        <v>43</v>
      </c>
      <c r="C1107">
        <v>70.760000000000005</v>
      </c>
      <c r="D1107">
        <v>15</v>
      </c>
      <c r="E1107" s="5">
        <v>3042.68</v>
      </c>
      <c r="F1107" s="3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s="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 s="5">
        <v>49</v>
      </c>
      <c r="C1108">
        <v>78.8</v>
      </c>
      <c r="D1108">
        <v>8</v>
      </c>
      <c r="E1108" s="5">
        <v>3861.2</v>
      </c>
      <c r="F1108" s="3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s="7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 s="5">
        <v>27</v>
      </c>
      <c r="C1109">
        <v>80.41</v>
      </c>
      <c r="D1109">
        <v>13</v>
      </c>
      <c r="E1109" s="5">
        <v>2171.0700000000002</v>
      </c>
      <c r="F1109" s="3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s="7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 s="5">
        <v>46</v>
      </c>
      <c r="C1110">
        <v>73.98</v>
      </c>
      <c r="D1110">
        <v>1</v>
      </c>
      <c r="E1110" s="5">
        <v>3403.08</v>
      </c>
      <c r="F1110" s="3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 s="7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 s="5">
        <v>38</v>
      </c>
      <c r="C1111">
        <v>59.1</v>
      </c>
      <c r="D1111">
        <v>10</v>
      </c>
      <c r="E1111" s="5">
        <v>2245.8000000000002</v>
      </c>
      <c r="F1111" s="3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 s="7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 s="5">
        <v>25</v>
      </c>
      <c r="C1112">
        <v>66.739999999999995</v>
      </c>
      <c r="D1112">
        <v>5</v>
      </c>
      <c r="E1112" s="5">
        <v>1668.5</v>
      </c>
      <c r="F1112" s="3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s="7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 s="5">
        <v>46</v>
      </c>
      <c r="C1113">
        <v>60.3</v>
      </c>
      <c r="D1113">
        <v>10</v>
      </c>
      <c r="E1113" s="5">
        <v>2773.8</v>
      </c>
      <c r="F1113" s="3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s="7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 s="5">
        <v>22</v>
      </c>
      <c r="C1114">
        <v>100</v>
      </c>
      <c r="D1114">
        <v>4</v>
      </c>
      <c r="E1114" s="5">
        <v>2464</v>
      </c>
      <c r="F1114" s="3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s="7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 s="5">
        <v>40</v>
      </c>
      <c r="C1115">
        <v>100</v>
      </c>
      <c r="D1115">
        <v>9</v>
      </c>
      <c r="E1115" s="5">
        <v>5491.6</v>
      </c>
      <c r="F1115" s="3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 s="7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 s="5">
        <v>46</v>
      </c>
      <c r="C1116">
        <v>100</v>
      </c>
      <c r="D1116">
        <v>16</v>
      </c>
      <c r="E1116" s="5">
        <v>4791.82</v>
      </c>
      <c r="F1116" s="3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s="7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 s="5">
        <v>39</v>
      </c>
      <c r="C1117">
        <v>100</v>
      </c>
      <c r="D1117">
        <v>4</v>
      </c>
      <c r="E1117" s="5">
        <v>4178.8500000000004</v>
      </c>
      <c r="F1117" s="3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 s="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 s="5">
        <v>38</v>
      </c>
      <c r="C1118">
        <v>82.34</v>
      </c>
      <c r="D1118">
        <v>16</v>
      </c>
      <c r="E1118" s="5">
        <v>3128.92</v>
      </c>
      <c r="F1118" s="3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s="7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 s="5">
        <v>30</v>
      </c>
      <c r="C1119">
        <v>100</v>
      </c>
      <c r="D1119">
        <v>5</v>
      </c>
      <c r="E1119" s="5">
        <v>3095.4</v>
      </c>
      <c r="F1119" s="3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s="7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 s="5">
        <v>42</v>
      </c>
      <c r="C1120">
        <v>94.25</v>
      </c>
      <c r="D1120">
        <v>2</v>
      </c>
      <c r="E1120" s="5">
        <v>3958.5</v>
      </c>
      <c r="F1120" s="3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 s="7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 s="5">
        <v>43</v>
      </c>
      <c r="C1121">
        <v>100</v>
      </c>
      <c r="D1121">
        <v>6</v>
      </c>
      <c r="E1121" s="5">
        <v>4991.4399999999996</v>
      </c>
      <c r="F1121" s="3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 s="7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 s="5">
        <v>29</v>
      </c>
      <c r="C1122">
        <v>95.24</v>
      </c>
      <c r="D1122">
        <v>4</v>
      </c>
      <c r="E1122" s="5">
        <v>2761.96</v>
      </c>
      <c r="F1122" s="3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s="7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 s="5">
        <v>33</v>
      </c>
      <c r="C1123">
        <v>86.31</v>
      </c>
      <c r="D1123">
        <v>1</v>
      </c>
      <c r="E1123" s="5">
        <v>2848.23</v>
      </c>
      <c r="F1123" s="3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 s="7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 s="5">
        <v>32</v>
      </c>
      <c r="C1124">
        <v>79.37</v>
      </c>
      <c r="D1124">
        <v>5</v>
      </c>
      <c r="E1124" s="5">
        <v>2539.84</v>
      </c>
      <c r="F1124" s="3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s="7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 s="5">
        <v>28</v>
      </c>
      <c r="C1125">
        <v>87.3</v>
      </c>
      <c r="D1125">
        <v>11</v>
      </c>
      <c r="E1125" s="5">
        <v>2444.4</v>
      </c>
      <c r="F1125" s="3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s="7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 s="5">
        <v>41</v>
      </c>
      <c r="C1126">
        <v>100</v>
      </c>
      <c r="D1126">
        <v>8</v>
      </c>
      <c r="E1126" s="5">
        <v>4555.92</v>
      </c>
      <c r="F1126" s="3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 s="7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 s="5">
        <v>33</v>
      </c>
      <c r="C1127">
        <v>100</v>
      </c>
      <c r="D1127">
        <v>1</v>
      </c>
      <c r="E1127" s="5">
        <v>3666.96</v>
      </c>
      <c r="F1127" s="3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s="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 s="5">
        <v>36</v>
      </c>
      <c r="C1128">
        <v>84.33</v>
      </c>
      <c r="D1128">
        <v>5</v>
      </c>
      <c r="E1128" s="5">
        <v>3035.88</v>
      </c>
      <c r="F1128" s="3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s="7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 s="5">
        <v>26</v>
      </c>
      <c r="C1129">
        <v>89.29</v>
      </c>
      <c r="D1129">
        <v>5</v>
      </c>
      <c r="E1129" s="5">
        <v>2321.54</v>
      </c>
      <c r="F1129" s="3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 s="7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 s="5">
        <v>34</v>
      </c>
      <c r="C1130">
        <v>100</v>
      </c>
      <c r="D1130">
        <v>7</v>
      </c>
      <c r="E1130" s="5">
        <v>3474.46</v>
      </c>
      <c r="F1130" s="3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s="7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 s="5">
        <v>26</v>
      </c>
      <c r="C1131">
        <v>96.23</v>
      </c>
      <c r="D1131">
        <v>2</v>
      </c>
      <c r="E1131" s="5">
        <v>2501.98</v>
      </c>
      <c r="F1131" s="3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 s="7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 s="5">
        <v>38</v>
      </c>
      <c r="C1132">
        <v>100</v>
      </c>
      <c r="D1132">
        <v>11</v>
      </c>
      <c r="E1132" s="5">
        <v>3958.46</v>
      </c>
      <c r="F1132" s="3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s="7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 s="5">
        <v>33</v>
      </c>
      <c r="C1133">
        <v>100</v>
      </c>
      <c r="D1133">
        <v>8</v>
      </c>
      <c r="E1133" s="5">
        <v>3535.95</v>
      </c>
      <c r="F1133" s="3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 s="7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 s="5">
        <v>33</v>
      </c>
      <c r="C1134">
        <v>91.27</v>
      </c>
      <c r="D1134">
        <v>2</v>
      </c>
      <c r="E1134" s="5">
        <v>3011.91</v>
      </c>
      <c r="F1134" s="3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s="7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 s="5">
        <v>46</v>
      </c>
      <c r="C1135">
        <v>100</v>
      </c>
      <c r="D1135">
        <v>2</v>
      </c>
      <c r="E1135" s="5">
        <v>11336.7</v>
      </c>
      <c r="F1135" s="3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 s="7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 s="5">
        <v>26</v>
      </c>
      <c r="C1136">
        <v>100</v>
      </c>
      <c r="D1136">
        <v>12</v>
      </c>
      <c r="E1136" s="5">
        <v>2656.94</v>
      </c>
      <c r="F1136" s="3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s="7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 s="5">
        <v>25</v>
      </c>
      <c r="C1137">
        <v>100</v>
      </c>
      <c r="D1137">
        <v>3</v>
      </c>
      <c r="E1137" s="5">
        <v>2604.25</v>
      </c>
      <c r="F1137" s="3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 s="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 s="5">
        <v>45</v>
      </c>
      <c r="C1138">
        <v>73.08</v>
      </c>
      <c r="D1138">
        <v>4</v>
      </c>
      <c r="E1138" s="5">
        <v>3288.6</v>
      </c>
      <c r="F1138" s="3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 s="7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 s="5">
        <v>50</v>
      </c>
      <c r="C1139">
        <v>100</v>
      </c>
      <c r="D1139">
        <v>7</v>
      </c>
      <c r="E1139" s="5">
        <v>8935.5</v>
      </c>
      <c r="F1139" s="3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 s="7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 s="5">
        <v>36</v>
      </c>
      <c r="C1140">
        <v>100</v>
      </c>
      <c r="D1140">
        <v>1</v>
      </c>
      <c r="E1140" s="5">
        <v>4035.96</v>
      </c>
      <c r="F1140" s="3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s="7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 s="5">
        <v>21</v>
      </c>
      <c r="C1141">
        <v>89.29</v>
      </c>
      <c r="D1141">
        <v>5</v>
      </c>
      <c r="E1141" s="5">
        <v>1875.09</v>
      </c>
      <c r="F1141" s="3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s="7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 s="5">
        <v>29</v>
      </c>
      <c r="C1142">
        <v>100</v>
      </c>
      <c r="D1142">
        <v>8</v>
      </c>
      <c r="E1142" s="5">
        <v>4049.56</v>
      </c>
      <c r="F1142" s="3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s="7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 s="5">
        <v>21</v>
      </c>
      <c r="C1143">
        <v>100</v>
      </c>
      <c r="D1143">
        <v>12</v>
      </c>
      <c r="E1143" s="5">
        <v>2469.39</v>
      </c>
      <c r="F1143" s="3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s="7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 s="5">
        <v>42</v>
      </c>
      <c r="C1144">
        <v>100</v>
      </c>
      <c r="D1144">
        <v>9</v>
      </c>
      <c r="E1144" s="5">
        <v>5432.7</v>
      </c>
      <c r="F1144" s="3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 s="7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 s="5">
        <v>37</v>
      </c>
      <c r="C1145">
        <v>100</v>
      </c>
      <c r="D1145">
        <v>9</v>
      </c>
      <c r="E1145" s="5">
        <v>4405.22</v>
      </c>
      <c r="F1145" s="3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 s="7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 s="5">
        <v>25</v>
      </c>
      <c r="C1146">
        <v>100</v>
      </c>
      <c r="D1146">
        <v>4</v>
      </c>
      <c r="E1146" s="5">
        <v>3638</v>
      </c>
      <c r="F1146" s="3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 s="7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 s="5">
        <v>36</v>
      </c>
      <c r="C1147">
        <v>100</v>
      </c>
      <c r="D1147">
        <v>4</v>
      </c>
      <c r="E1147" s="5">
        <v>4444.92</v>
      </c>
      <c r="F1147" s="3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s="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 s="5">
        <v>22</v>
      </c>
      <c r="C1148">
        <v>100</v>
      </c>
      <c r="D1148">
        <v>16</v>
      </c>
      <c r="E1148" s="5">
        <v>3395.48</v>
      </c>
      <c r="F1148" s="3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s="7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 s="5">
        <v>23</v>
      </c>
      <c r="C1149">
        <v>100</v>
      </c>
      <c r="D1149">
        <v>5</v>
      </c>
      <c r="E1149" s="5">
        <v>3414.58</v>
      </c>
      <c r="F1149" s="3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s="7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 s="5">
        <v>32</v>
      </c>
      <c r="C1150">
        <v>100</v>
      </c>
      <c r="D1150">
        <v>10</v>
      </c>
      <c r="E1150" s="5">
        <v>5127.04</v>
      </c>
      <c r="F1150" s="3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s="7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 s="5">
        <v>28</v>
      </c>
      <c r="C1151">
        <v>100</v>
      </c>
      <c r="D1151">
        <v>4</v>
      </c>
      <c r="E1151" s="5">
        <v>3745.28</v>
      </c>
      <c r="F1151" s="3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s="7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 s="5">
        <v>27</v>
      </c>
      <c r="C1152">
        <v>100</v>
      </c>
      <c r="D1152">
        <v>11</v>
      </c>
      <c r="E1152" s="5">
        <v>4564.08</v>
      </c>
      <c r="F1152" s="3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s="7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 s="5">
        <v>49</v>
      </c>
      <c r="C1153">
        <v>100</v>
      </c>
      <c r="D1153">
        <v>5</v>
      </c>
      <c r="E1153" s="5">
        <v>6554.24</v>
      </c>
      <c r="F1153" s="3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s="7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 s="5">
        <v>41</v>
      </c>
      <c r="C1154">
        <v>100</v>
      </c>
      <c r="D1154">
        <v>1</v>
      </c>
      <c r="E1154" s="5">
        <v>6749.83</v>
      </c>
      <c r="F1154" s="3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s="7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 s="5">
        <v>49</v>
      </c>
      <c r="C1155">
        <v>100</v>
      </c>
      <c r="D1155">
        <v>1</v>
      </c>
      <c r="E1155" s="5">
        <v>8427.02</v>
      </c>
      <c r="F1155" s="3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s="7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 s="5">
        <v>30</v>
      </c>
      <c r="C1156">
        <v>100</v>
      </c>
      <c r="D1156">
        <v>5</v>
      </c>
      <c r="E1156" s="5">
        <v>3924.6</v>
      </c>
      <c r="F1156" s="3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 s="7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 s="5">
        <v>40</v>
      </c>
      <c r="C1157">
        <v>100</v>
      </c>
      <c r="D1157">
        <v>14</v>
      </c>
      <c r="E1157" s="5">
        <v>6761.6</v>
      </c>
      <c r="F1157" s="3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s="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 s="5">
        <v>23</v>
      </c>
      <c r="C1158">
        <v>100</v>
      </c>
      <c r="D1158">
        <v>7</v>
      </c>
      <c r="E1158" s="5">
        <v>3786.49</v>
      </c>
      <c r="F1158" s="3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s="7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 s="5">
        <v>49</v>
      </c>
      <c r="C1159">
        <v>100</v>
      </c>
      <c r="D1159">
        <v>12</v>
      </c>
      <c r="E1159" s="5">
        <v>6266.12</v>
      </c>
      <c r="F1159" s="3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s="7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 s="5">
        <v>25</v>
      </c>
      <c r="C1160">
        <v>100</v>
      </c>
      <c r="D1160">
        <v>5</v>
      </c>
      <c r="E1160" s="5">
        <v>3491</v>
      </c>
      <c r="F1160" s="3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s="7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 s="5">
        <v>37</v>
      </c>
      <c r="C1161">
        <v>100</v>
      </c>
      <c r="D1161">
        <v>3</v>
      </c>
      <c r="E1161" s="5">
        <v>4405.22</v>
      </c>
      <c r="F1161" s="3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s="7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 s="5">
        <v>55</v>
      </c>
      <c r="C1162">
        <v>100</v>
      </c>
      <c r="D1162">
        <v>7</v>
      </c>
      <c r="E1162" s="5">
        <v>6548.3</v>
      </c>
      <c r="F1162" s="3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s="7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 s="5">
        <v>23</v>
      </c>
      <c r="C1163">
        <v>100</v>
      </c>
      <c r="D1163">
        <v>7</v>
      </c>
      <c r="E1163" s="5">
        <v>3177.91</v>
      </c>
      <c r="F1163" s="3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s="7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 s="5">
        <v>24</v>
      </c>
      <c r="C1164">
        <v>100</v>
      </c>
      <c r="D1164">
        <v>11</v>
      </c>
      <c r="E1164" s="5">
        <v>4142.6400000000003</v>
      </c>
      <c r="F1164" s="3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s="7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 s="5">
        <v>43</v>
      </c>
      <c r="C1165">
        <v>96.49</v>
      </c>
      <c r="D1165">
        <v>10</v>
      </c>
      <c r="E1165" s="5">
        <v>4149.07</v>
      </c>
      <c r="F1165" s="3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s="7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 s="5">
        <v>50</v>
      </c>
      <c r="C1166">
        <v>100</v>
      </c>
      <c r="D1166">
        <v>1</v>
      </c>
      <c r="E1166" s="5">
        <v>7397</v>
      </c>
      <c r="F1166" s="3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 s="7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 s="5">
        <v>47</v>
      </c>
      <c r="C1167">
        <v>100</v>
      </c>
      <c r="D1167">
        <v>2</v>
      </c>
      <c r="E1167" s="5">
        <v>6241.6</v>
      </c>
      <c r="F1167" s="3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 s="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 s="5">
        <v>34</v>
      </c>
      <c r="C1168">
        <v>100</v>
      </c>
      <c r="D1168">
        <v>4</v>
      </c>
      <c r="E1168" s="5">
        <v>5331.88</v>
      </c>
      <c r="F1168" s="3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s="7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 s="5">
        <v>31</v>
      </c>
      <c r="C1169">
        <v>100</v>
      </c>
      <c r="D1169">
        <v>4</v>
      </c>
      <c r="E1169" s="5">
        <v>5124.3</v>
      </c>
      <c r="F1169" s="3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s="7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 s="5">
        <v>28</v>
      </c>
      <c r="C1170">
        <v>100</v>
      </c>
      <c r="D1170">
        <v>11</v>
      </c>
      <c r="E1170" s="5">
        <v>3639.44</v>
      </c>
      <c r="F1170" s="3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s="7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 s="5">
        <v>36</v>
      </c>
      <c r="C1171">
        <v>100</v>
      </c>
      <c r="D1171">
        <v>10</v>
      </c>
      <c r="E1171" s="5">
        <v>5544</v>
      </c>
      <c r="F1171" s="3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s="7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 s="5">
        <v>48</v>
      </c>
      <c r="C1172">
        <v>100</v>
      </c>
      <c r="D1172">
        <v>8</v>
      </c>
      <c r="E1172" s="5">
        <v>5493.12</v>
      </c>
      <c r="F1172" s="3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 s="7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 s="5">
        <v>39</v>
      </c>
      <c r="C1173">
        <v>100</v>
      </c>
      <c r="D1173">
        <v>4</v>
      </c>
      <c r="E1173" s="5">
        <v>5785.26</v>
      </c>
      <c r="F1173" s="3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s="7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 s="5">
        <v>45</v>
      </c>
      <c r="C1174">
        <v>100</v>
      </c>
      <c r="D1174">
        <v>9</v>
      </c>
      <c r="E1174" s="5">
        <v>5340.6</v>
      </c>
      <c r="F1174" s="3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 s="7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 s="5">
        <v>35</v>
      </c>
      <c r="C1175">
        <v>100</v>
      </c>
      <c r="D1175">
        <v>15</v>
      </c>
      <c r="E1175" s="5">
        <v>5735.8</v>
      </c>
      <c r="F1175" s="3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 s="7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 s="5">
        <v>45</v>
      </c>
      <c r="C1176">
        <v>100</v>
      </c>
      <c r="D1176">
        <v>8</v>
      </c>
      <c r="E1176" s="5">
        <v>6357.6</v>
      </c>
      <c r="F1176" s="3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s="7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 s="5">
        <v>46</v>
      </c>
      <c r="C1177">
        <v>100</v>
      </c>
      <c r="D1177">
        <v>6</v>
      </c>
      <c r="E1177" s="5">
        <v>7343.9</v>
      </c>
      <c r="F1177" s="3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 s="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 s="5">
        <v>37</v>
      </c>
      <c r="C1178">
        <v>100</v>
      </c>
      <c r="D1178">
        <v>1</v>
      </c>
      <c r="E1178" s="5">
        <v>5959.22</v>
      </c>
      <c r="F1178" s="3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s="7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 s="5">
        <v>31</v>
      </c>
      <c r="C1179">
        <v>100</v>
      </c>
      <c r="D1179">
        <v>3</v>
      </c>
      <c r="E1179" s="5">
        <v>4029.38</v>
      </c>
      <c r="F1179" s="3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s="7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 s="5">
        <v>33</v>
      </c>
      <c r="C1180">
        <v>100</v>
      </c>
      <c r="D1180">
        <v>4</v>
      </c>
      <c r="E1180" s="5">
        <v>5035.1400000000003</v>
      </c>
      <c r="F1180" s="3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s="7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 s="5">
        <v>31</v>
      </c>
      <c r="C1181">
        <v>100</v>
      </c>
      <c r="D1181">
        <v>4</v>
      </c>
      <c r="E1181" s="5">
        <v>4116.8</v>
      </c>
      <c r="F1181" s="3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 s="7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 s="5">
        <v>27</v>
      </c>
      <c r="C1182">
        <v>100</v>
      </c>
      <c r="D1182">
        <v>2</v>
      </c>
      <c r="E1182" s="5">
        <v>4310.55</v>
      </c>
      <c r="F1182" s="3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s="7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 s="5">
        <v>39</v>
      </c>
      <c r="C1183">
        <v>100</v>
      </c>
      <c r="D1183">
        <v>6</v>
      </c>
      <c r="E1183" s="5">
        <v>6446.7</v>
      </c>
      <c r="F1183" s="3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s="7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 s="5">
        <v>32</v>
      </c>
      <c r="C1184">
        <v>100</v>
      </c>
      <c r="D1184">
        <v>11</v>
      </c>
      <c r="E1184" s="5">
        <v>3616.64</v>
      </c>
      <c r="F1184" s="3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s="7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 s="5">
        <v>28</v>
      </c>
      <c r="C1185">
        <v>100</v>
      </c>
      <c r="D1185">
        <v>8</v>
      </c>
      <c r="E1185" s="5">
        <v>4232.76</v>
      </c>
      <c r="F1185" s="3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 s="7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 s="5">
        <v>26</v>
      </c>
      <c r="C1186">
        <v>67.91</v>
      </c>
      <c r="D1186">
        <v>12</v>
      </c>
      <c r="E1186" s="5">
        <v>1765.66</v>
      </c>
      <c r="F1186" s="3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 s="7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 s="5">
        <v>44</v>
      </c>
      <c r="C1187">
        <v>84.88</v>
      </c>
      <c r="D1187">
        <v>2</v>
      </c>
      <c r="E1187" s="5">
        <v>3734.72</v>
      </c>
      <c r="F1187" s="3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s="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 s="5">
        <v>46</v>
      </c>
      <c r="C1188">
        <v>100</v>
      </c>
      <c r="D1188">
        <v>6</v>
      </c>
      <c r="E1188" s="5">
        <v>4808.38</v>
      </c>
      <c r="F1188" s="3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 s="7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 s="5">
        <v>32</v>
      </c>
      <c r="C1189">
        <v>70.83</v>
      </c>
      <c r="D1189">
        <v>4</v>
      </c>
      <c r="E1189" s="5">
        <v>2266.56</v>
      </c>
      <c r="F1189" s="3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s="7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 s="5">
        <v>65</v>
      </c>
      <c r="C1190">
        <v>100</v>
      </c>
      <c r="D1190">
        <v>1</v>
      </c>
      <c r="E1190" s="5">
        <v>10468.9</v>
      </c>
      <c r="F1190" s="3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s="7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 s="5">
        <v>43</v>
      </c>
      <c r="C1191">
        <v>100</v>
      </c>
      <c r="D1191">
        <v>3</v>
      </c>
      <c r="E1191" s="5">
        <v>5589.14</v>
      </c>
      <c r="F1191" s="3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s="7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 s="5">
        <v>43</v>
      </c>
      <c r="C1192">
        <v>67.77</v>
      </c>
      <c r="D1192">
        <v>12</v>
      </c>
      <c r="E1192" s="5">
        <v>2914.11</v>
      </c>
      <c r="F1192" s="3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s="7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 s="5">
        <v>35</v>
      </c>
      <c r="C1193">
        <v>49.74</v>
      </c>
      <c r="D1193">
        <v>16</v>
      </c>
      <c r="E1193" s="5">
        <v>1740.9</v>
      </c>
      <c r="F1193" s="3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s="7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 s="5">
        <v>45</v>
      </c>
      <c r="C1194">
        <v>50.36</v>
      </c>
      <c r="D1194">
        <v>13</v>
      </c>
      <c r="E1194" s="5">
        <v>2266.1999999999998</v>
      </c>
      <c r="F1194" s="3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 s="7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 s="5">
        <v>47</v>
      </c>
      <c r="C1195">
        <v>67.14</v>
      </c>
      <c r="D1195">
        <v>2</v>
      </c>
      <c r="E1195" s="5">
        <v>3155.58</v>
      </c>
      <c r="F1195" s="3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 s="7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 s="5">
        <v>21</v>
      </c>
      <c r="C1196">
        <v>64.66</v>
      </c>
      <c r="D1196">
        <v>8</v>
      </c>
      <c r="E1196" s="5">
        <v>1357.86</v>
      </c>
      <c r="F1196" s="3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 s="7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 s="5">
        <v>38</v>
      </c>
      <c r="C1197">
        <v>68.39</v>
      </c>
      <c r="D1197">
        <v>8</v>
      </c>
      <c r="E1197" s="5">
        <v>2598.8200000000002</v>
      </c>
      <c r="F1197" s="3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s="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 s="5">
        <v>21</v>
      </c>
      <c r="C1198">
        <v>50.36</v>
      </c>
      <c r="D1198">
        <v>3</v>
      </c>
      <c r="E1198" s="5">
        <v>1057.56</v>
      </c>
      <c r="F1198" s="3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s="7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 s="5">
        <v>43</v>
      </c>
      <c r="C1199">
        <v>72.739999999999995</v>
      </c>
      <c r="D1199">
        <v>9</v>
      </c>
      <c r="E1199" s="5">
        <v>3127.82</v>
      </c>
      <c r="F1199" s="3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s="7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 s="5">
        <v>46</v>
      </c>
      <c r="C1200">
        <v>54.09</v>
      </c>
      <c r="D1200">
        <v>8</v>
      </c>
      <c r="E1200" s="5">
        <v>2488.14</v>
      </c>
      <c r="F1200" s="3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s="7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 s="5">
        <v>38</v>
      </c>
      <c r="C1201">
        <v>58.44</v>
      </c>
      <c r="D1201">
        <v>1</v>
      </c>
      <c r="E1201" s="5">
        <v>2220.7199999999998</v>
      </c>
      <c r="F1201" s="3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s="7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 s="5">
        <v>26</v>
      </c>
      <c r="C1202">
        <v>52.22</v>
      </c>
      <c r="D1202">
        <v>1</v>
      </c>
      <c r="E1202" s="5">
        <v>1357.72</v>
      </c>
      <c r="F1202" s="3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 s="7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 s="5">
        <v>31</v>
      </c>
      <c r="C1203">
        <v>52.84</v>
      </c>
      <c r="D1203">
        <v>5</v>
      </c>
      <c r="E1203" s="5">
        <v>1638.04</v>
      </c>
      <c r="F1203" s="3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s="7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 s="5">
        <v>48</v>
      </c>
      <c r="C1204">
        <v>54.71</v>
      </c>
      <c r="D1204">
        <v>3</v>
      </c>
      <c r="E1204" s="5">
        <v>2626.08</v>
      </c>
      <c r="F1204" s="3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 s="7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 s="5">
        <v>33</v>
      </c>
      <c r="C1205">
        <v>50.36</v>
      </c>
      <c r="D1205">
        <v>9</v>
      </c>
      <c r="E1205" s="5">
        <v>1661.88</v>
      </c>
      <c r="F1205" s="3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 s="7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 s="5">
        <v>38</v>
      </c>
      <c r="C1206">
        <v>57.2</v>
      </c>
      <c r="D1206">
        <v>1</v>
      </c>
      <c r="E1206" s="5">
        <v>2173.6</v>
      </c>
      <c r="F1206" s="3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s="7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 s="5">
        <v>39</v>
      </c>
      <c r="C1207">
        <v>55.95</v>
      </c>
      <c r="D1207">
        <v>3</v>
      </c>
      <c r="E1207" s="5">
        <v>2182.0500000000002</v>
      </c>
      <c r="F1207" s="3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s="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 s="5">
        <v>42</v>
      </c>
      <c r="C1208">
        <v>67.14</v>
      </c>
      <c r="D1208">
        <v>16</v>
      </c>
      <c r="E1208" s="5">
        <v>2819.88</v>
      </c>
      <c r="F1208" s="3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s="7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 s="5">
        <v>44</v>
      </c>
      <c r="C1209">
        <v>59.06</v>
      </c>
      <c r="D1209">
        <v>4</v>
      </c>
      <c r="E1209" s="5">
        <v>2598.64</v>
      </c>
      <c r="F1209" s="3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 s="7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 s="5">
        <v>29</v>
      </c>
      <c r="C1210">
        <v>69.63</v>
      </c>
      <c r="D1210">
        <v>2</v>
      </c>
      <c r="E1210" s="5">
        <v>2019.27</v>
      </c>
      <c r="F1210" s="3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s="7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 s="5">
        <v>26</v>
      </c>
      <c r="C1211">
        <v>55.95</v>
      </c>
      <c r="D1211">
        <v>8</v>
      </c>
      <c r="E1211" s="5">
        <v>1454.7</v>
      </c>
      <c r="F1211" s="3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s="7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 s="5">
        <v>31</v>
      </c>
      <c r="C1212">
        <v>53.47</v>
      </c>
      <c r="D1212">
        <v>1</v>
      </c>
      <c r="E1212" s="5">
        <v>1657.57</v>
      </c>
      <c r="F1212" s="3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s="7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 s="5">
        <v>32</v>
      </c>
      <c r="C1213">
        <v>89.12</v>
      </c>
      <c r="D1213">
        <v>12</v>
      </c>
      <c r="E1213" s="5">
        <v>2851.84</v>
      </c>
      <c r="F1213" s="3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s="7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 s="5">
        <v>28</v>
      </c>
      <c r="C1214">
        <v>100</v>
      </c>
      <c r="D1214">
        <v>9</v>
      </c>
      <c r="E1214" s="5">
        <v>4609.6400000000003</v>
      </c>
      <c r="F1214" s="3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s="7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 s="5">
        <v>36</v>
      </c>
      <c r="C1215">
        <v>100</v>
      </c>
      <c r="D1215">
        <v>2</v>
      </c>
      <c r="E1215" s="5">
        <v>5079.96</v>
      </c>
      <c r="F1215" s="3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 s="7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 s="5">
        <v>36</v>
      </c>
      <c r="C1216">
        <v>52.22</v>
      </c>
      <c r="D1216">
        <v>1</v>
      </c>
      <c r="E1216" s="5">
        <v>1879.92</v>
      </c>
      <c r="F1216" s="3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s="7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 s="5">
        <v>41</v>
      </c>
      <c r="C1217">
        <v>100</v>
      </c>
      <c r="D1217">
        <v>17</v>
      </c>
      <c r="E1217" s="5">
        <v>4774.8599999999997</v>
      </c>
      <c r="F1217" s="3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s="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 s="5">
        <v>27</v>
      </c>
      <c r="C1218">
        <v>99.52</v>
      </c>
      <c r="D1218">
        <v>8</v>
      </c>
      <c r="E1218" s="5">
        <v>2687.04</v>
      </c>
      <c r="F1218" s="3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s="7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 s="5">
        <v>33</v>
      </c>
      <c r="C1219">
        <v>100</v>
      </c>
      <c r="D1219">
        <v>1</v>
      </c>
      <c r="E1219" s="5">
        <v>3423.75</v>
      </c>
      <c r="F1219" s="3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 s="7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 s="5">
        <v>34</v>
      </c>
      <c r="C1220">
        <v>100</v>
      </c>
      <c r="D1220">
        <v>12</v>
      </c>
      <c r="E1220" s="5">
        <v>3455.76</v>
      </c>
      <c r="F1220" s="3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 s="7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 s="5">
        <v>29</v>
      </c>
      <c r="C1221">
        <v>100</v>
      </c>
      <c r="D1221">
        <v>10</v>
      </c>
      <c r="E1221" s="5">
        <v>3622.97</v>
      </c>
      <c r="F1221" s="3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s="7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 s="5">
        <v>34</v>
      </c>
      <c r="C1222">
        <v>100</v>
      </c>
      <c r="D1222">
        <v>6</v>
      </c>
      <c r="E1222" s="5">
        <v>3599.58</v>
      </c>
      <c r="F1222" s="3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s="7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 s="5">
        <v>48</v>
      </c>
      <c r="C1223">
        <v>100</v>
      </c>
      <c r="D1223">
        <v>9</v>
      </c>
      <c r="E1223" s="5">
        <v>5386.56</v>
      </c>
      <c r="F1223" s="3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s="7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 s="5">
        <v>46</v>
      </c>
      <c r="C1224">
        <v>100</v>
      </c>
      <c r="D1224">
        <v>6</v>
      </c>
      <c r="E1224" s="5">
        <v>4918.78</v>
      </c>
      <c r="F1224" s="3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s="7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 s="5">
        <v>22</v>
      </c>
      <c r="C1225">
        <v>100</v>
      </c>
      <c r="D1225">
        <v>3</v>
      </c>
      <c r="E1225" s="5">
        <v>2538.8000000000002</v>
      </c>
      <c r="F1225" s="3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s="7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 s="5">
        <v>20</v>
      </c>
      <c r="C1226">
        <v>100</v>
      </c>
      <c r="D1226">
        <v>5</v>
      </c>
      <c r="E1226" s="5">
        <v>2498.6</v>
      </c>
      <c r="F1226" s="3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 s="7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 s="5">
        <v>45</v>
      </c>
      <c r="C1227">
        <v>85.75</v>
      </c>
      <c r="D1227">
        <v>9</v>
      </c>
      <c r="E1227" s="5">
        <v>3858.75</v>
      </c>
      <c r="F1227" s="3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 s="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 s="5">
        <v>46</v>
      </c>
      <c r="C1228">
        <v>100</v>
      </c>
      <c r="D1228">
        <v>5</v>
      </c>
      <c r="E1228" s="5">
        <v>5600.5</v>
      </c>
      <c r="F1228" s="3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 s="7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 s="5">
        <v>34</v>
      </c>
      <c r="C1229">
        <v>100</v>
      </c>
      <c r="D1229">
        <v>14</v>
      </c>
      <c r="E1229" s="5">
        <v>4103.46</v>
      </c>
      <c r="F1229" s="3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s="7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 s="5">
        <v>50</v>
      </c>
      <c r="C1230">
        <v>85.75</v>
      </c>
      <c r="D1230">
        <v>1</v>
      </c>
      <c r="E1230" s="5">
        <v>4287.5</v>
      </c>
      <c r="F1230" s="3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s="7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 s="5">
        <v>46</v>
      </c>
      <c r="C1231">
        <v>100</v>
      </c>
      <c r="D1231">
        <v>3</v>
      </c>
      <c r="E1231" s="5">
        <v>5795.54</v>
      </c>
      <c r="F1231" s="3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s="7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 s="5">
        <v>22</v>
      </c>
      <c r="C1232">
        <v>84.7</v>
      </c>
      <c r="D1232">
        <v>12</v>
      </c>
      <c r="E1232" s="5">
        <v>1863.4</v>
      </c>
      <c r="F1232" s="3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s="7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 s="5">
        <v>48</v>
      </c>
      <c r="C1233">
        <v>86.81</v>
      </c>
      <c r="D1233">
        <v>6</v>
      </c>
      <c r="E1233" s="5">
        <v>4166.88</v>
      </c>
      <c r="F1233" s="3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 s="7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 s="5">
        <v>47</v>
      </c>
      <c r="C1234">
        <v>86.81</v>
      </c>
      <c r="D1234">
        <v>14</v>
      </c>
      <c r="E1234" s="5">
        <v>4080.07</v>
      </c>
      <c r="F1234" s="3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s="7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 s="5">
        <v>34</v>
      </c>
      <c r="C1235">
        <v>100</v>
      </c>
      <c r="D1235">
        <v>6</v>
      </c>
      <c r="E1235" s="5">
        <v>3815.48</v>
      </c>
      <c r="F1235" s="3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s="7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 s="5">
        <v>45</v>
      </c>
      <c r="C1236">
        <v>100</v>
      </c>
      <c r="D1236">
        <v>2</v>
      </c>
      <c r="E1236" s="5">
        <v>5526.45</v>
      </c>
      <c r="F1236" s="3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s="7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 s="5">
        <v>20</v>
      </c>
      <c r="C1237">
        <v>100</v>
      </c>
      <c r="D1237">
        <v>2</v>
      </c>
      <c r="E1237" s="5">
        <v>3374.6</v>
      </c>
      <c r="F1237" s="3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s="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 s="5">
        <v>50</v>
      </c>
      <c r="C1238">
        <v>60.49</v>
      </c>
      <c r="D1238">
        <v>6</v>
      </c>
      <c r="E1238" s="5">
        <v>3024.5</v>
      </c>
      <c r="F1238" s="3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s="7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 s="5">
        <v>22</v>
      </c>
      <c r="C1239">
        <v>57.55</v>
      </c>
      <c r="D1239">
        <v>6</v>
      </c>
      <c r="E1239" s="5">
        <v>1266.0999999999999</v>
      </c>
      <c r="F1239" s="3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s="7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 s="5">
        <v>45</v>
      </c>
      <c r="C1240">
        <v>100</v>
      </c>
      <c r="D1240">
        <v>17</v>
      </c>
      <c r="E1240" s="5">
        <v>4811.8500000000004</v>
      </c>
      <c r="F1240" s="3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s="7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 s="5">
        <v>58</v>
      </c>
      <c r="C1241">
        <v>100</v>
      </c>
      <c r="D1241">
        <v>6</v>
      </c>
      <c r="E1241" s="5">
        <v>7307.42</v>
      </c>
      <c r="F1241" s="3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 s="7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 s="5">
        <v>51</v>
      </c>
      <c r="C1242">
        <v>100</v>
      </c>
      <c r="D1242">
        <v>5</v>
      </c>
      <c r="E1242" s="5">
        <v>6209.25</v>
      </c>
      <c r="F1242" s="3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s="7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 s="5">
        <v>38</v>
      </c>
      <c r="C1243">
        <v>100</v>
      </c>
      <c r="D1243">
        <v>3</v>
      </c>
      <c r="E1243" s="5">
        <v>5348.5</v>
      </c>
      <c r="F1243" s="3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s="7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 s="5">
        <v>22</v>
      </c>
      <c r="C1244">
        <v>100</v>
      </c>
      <c r="D1244">
        <v>12</v>
      </c>
      <c r="E1244" s="5">
        <v>2780.58</v>
      </c>
      <c r="F1244" s="3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s="7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 s="5">
        <v>25</v>
      </c>
      <c r="C1245">
        <v>100</v>
      </c>
      <c r="D1245">
        <v>5</v>
      </c>
      <c r="E1245" s="5">
        <v>3447</v>
      </c>
      <c r="F1245" s="3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 s="7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 s="5">
        <v>24</v>
      </c>
      <c r="C1246">
        <v>100</v>
      </c>
      <c r="D1246">
        <v>15</v>
      </c>
      <c r="E1246" s="5">
        <v>3791.52</v>
      </c>
      <c r="F1246" s="3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 s="7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 s="5">
        <v>35</v>
      </c>
      <c r="C1247">
        <v>100</v>
      </c>
      <c r="D1247">
        <v>1</v>
      </c>
      <c r="E1247" s="5">
        <v>4524.1000000000004</v>
      </c>
      <c r="F1247" s="3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s="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 s="5">
        <v>28</v>
      </c>
      <c r="C1248">
        <v>100</v>
      </c>
      <c r="D1248">
        <v>6</v>
      </c>
      <c r="E1248" s="5">
        <v>3337.6</v>
      </c>
      <c r="F1248" s="3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s="7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 s="5">
        <v>36</v>
      </c>
      <c r="C1249">
        <v>100</v>
      </c>
      <c r="D1249">
        <v>5</v>
      </c>
      <c r="E1249" s="5">
        <v>5532.12</v>
      </c>
      <c r="F1249" s="3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s="7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 s="5">
        <v>39</v>
      </c>
      <c r="C1250">
        <v>100</v>
      </c>
      <c r="D1250">
        <v>16</v>
      </c>
      <c r="E1250" s="5">
        <v>5096.91</v>
      </c>
      <c r="F1250" s="3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 s="7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 s="5">
        <v>27</v>
      </c>
      <c r="C1251">
        <v>100</v>
      </c>
      <c r="D1251">
        <v>8</v>
      </c>
      <c r="E1251" s="5">
        <v>4537.08</v>
      </c>
      <c r="F1251" s="3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 s="7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 s="5">
        <v>40</v>
      </c>
      <c r="C1252">
        <v>100</v>
      </c>
      <c r="D1252">
        <v>1</v>
      </c>
      <c r="E1252" s="5">
        <v>6146.8</v>
      </c>
      <c r="F1252" s="3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 s="7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 s="5">
        <v>50</v>
      </c>
      <c r="C1253">
        <v>100</v>
      </c>
      <c r="D1253">
        <v>5</v>
      </c>
      <c r="E1253" s="5">
        <v>8258</v>
      </c>
      <c r="F1253" s="3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s="7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 s="5">
        <v>42</v>
      </c>
      <c r="C1254">
        <v>100</v>
      </c>
      <c r="D1254">
        <v>3</v>
      </c>
      <c r="E1254" s="5">
        <v>7238.28</v>
      </c>
      <c r="F1254" s="3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s="7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 s="5">
        <v>48</v>
      </c>
      <c r="C1255">
        <v>100</v>
      </c>
      <c r="D1255">
        <v>5</v>
      </c>
      <c r="E1255" s="5">
        <v>6756</v>
      </c>
      <c r="F1255" s="3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s="7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 s="5">
        <v>25</v>
      </c>
      <c r="C1256">
        <v>100</v>
      </c>
      <c r="D1256">
        <v>5</v>
      </c>
      <c r="E1256" s="5">
        <v>3734</v>
      </c>
      <c r="F1256" s="3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 s="7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 s="5">
        <v>31</v>
      </c>
      <c r="C1257">
        <v>100</v>
      </c>
      <c r="D1257">
        <v>8</v>
      </c>
      <c r="E1257" s="5">
        <v>4674.8</v>
      </c>
      <c r="F1257" s="3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 s="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 s="5">
        <v>44</v>
      </c>
      <c r="C1258">
        <v>100</v>
      </c>
      <c r="D1258">
        <v>2</v>
      </c>
      <c r="E1258" s="5">
        <v>7140.76</v>
      </c>
      <c r="F1258" s="3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 s="7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 s="5">
        <v>23</v>
      </c>
      <c r="C1259">
        <v>100</v>
      </c>
      <c r="D1259">
        <v>16</v>
      </c>
      <c r="E1259" s="5">
        <v>3600.65</v>
      </c>
      <c r="F1259" s="3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s="7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 s="5">
        <v>29</v>
      </c>
      <c r="C1260">
        <v>100</v>
      </c>
      <c r="D1260">
        <v>8</v>
      </c>
      <c r="E1260" s="5">
        <v>4206.74</v>
      </c>
      <c r="F1260" s="3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s="7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 s="5">
        <v>49</v>
      </c>
      <c r="C1261">
        <v>100</v>
      </c>
      <c r="D1261">
        <v>13</v>
      </c>
      <c r="E1261" s="5">
        <v>5379.71</v>
      </c>
      <c r="F1261" s="3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 s="7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 s="5">
        <v>36</v>
      </c>
      <c r="C1262">
        <v>100</v>
      </c>
      <c r="D1262">
        <v>3</v>
      </c>
      <c r="E1262" s="5">
        <v>5679.36</v>
      </c>
      <c r="F1262" s="3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 s="7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 s="5">
        <v>34</v>
      </c>
      <c r="C1263">
        <v>100</v>
      </c>
      <c r="D1263">
        <v>5</v>
      </c>
      <c r="E1263" s="5">
        <v>4394.84</v>
      </c>
      <c r="F1263" s="3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 s="7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 s="5">
        <v>25</v>
      </c>
      <c r="C1264">
        <v>100</v>
      </c>
      <c r="D1264">
        <v>13</v>
      </c>
      <c r="E1264" s="5">
        <v>2528.25</v>
      </c>
      <c r="F1264" s="3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s="7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 s="5">
        <v>48</v>
      </c>
      <c r="C1265">
        <v>100</v>
      </c>
      <c r="D1265">
        <v>6</v>
      </c>
      <c r="E1265" s="5">
        <v>7031.52</v>
      </c>
      <c r="F1265" s="3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s="7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 s="5">
        <v>38</v>
      </c>
      <c r="C1266">
        <v>100</v>
      </c>
      <c r="D1266">
        <v>1</v>
      </c>
      <c r="E1266" s="5">
        <v>5340.9</v>
      </c>
      <c r="F1266" s="3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s="7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 s="5">
        <v>37</v>
      </c>
      <c r="C1267">
        <v>100</v>
      </c>
      <c r="D1267">
        <v>1</v>
      </c>
      <c r="E1267" s="5">
        <v>6376.58</v>
      </c>
      <c r="F1267" s="3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s="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 s="5">
        <v>49</v>
      </c>
      <c r="C1268">
        <v>100</v>
      </c>
      <c r="D1268">
        <v>5</v>
      </c>
      <c r="E1268" s="5">
        <v>6896.75</v>
      </c>
      <c r="F1268" s="3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 s="7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 s="5">
        <v>22</v>
      </c>
      <c r="C1269">
        <v>86.51</v>
      </c>
      <c r="D1269">
        <v>4</v>
      </c>
      <c r="E1269" s="5">
        <v>1903.22</v>
      </c>
      <c r="F1269" s="3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 s="7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 s="5">
        <v>28</v>
      </c>
      <c r="C1270">
        <v>89.27</v>
      </c>
      <c r="D1270">
        <v>8</v>
      </c>
      <c r="E1270" s="5">
        <v>2499.56</v>
      </c>
      <c r="F1270" s="3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s="7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 s="5">
        <v>36</v>
      </c>
      <c r="C1271">
        <v>85.59</v>
      </c>
      <c r="D1271">
        <v>7</v>
      </c>
      <c r="E1271" s="5">
        <v>3081.24</v>
      </c>
      <c r="F1271" s="3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 s="7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 s="5">
        <v>34</v>
      </c>
      <c r="C1272">
        <v>100</v>
      </c>
      <c r="D1272">
        <v>1</v>
      </c>
      <c r="E1272" s="5">
        <v>3598.22</v>
      </c>
      <c r="F1272" s="3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s="7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 s="5">
        <v>39</v>
      </c>
      <c r="C1273">
        <v>100</v>
      </c>
      <c r="D1273">
        <v>10</v>
      </c>
      <c r="E1273" s="5">
        <v>3912.09</v>
      </c>
      <c r="F1273" s="3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 s="7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 s="5">
        <v>21</v>
      </c>
      <c r="C1274">
        <v>75.459999999999994</v>
      </c>
      <c r="D1274">
        <v>14</v>
      </c>
      <c r="E1274" s="5">
        <v>1584.66</v>
      </c>
      <c r="F1274" s="3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s="7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 s="5">
        <v>36</v>
      </c>
      <c r="C1275">
        <v>100</v>
      </c>
      <c r="D1275">
        <v>11</v>
      </c>
      <c r="E1275" s="5">
        <v>3942.72</v>
      </c>
      <c r="F1275" s="3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 s="7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 s="5">
        <v>24</v>
      </c>
      <c r="C1276">
        <v>97.55</v>
      </c>
      <c r="D1276">
        <v>15</v>
      </c>
      <c r="E1276" s="5">
        <v>2341.1999999999998</v>
      </c>
      <c r="F1276" s="3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s="7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 s="5">
        <v>29</v>
      </c>
      <c r="C1277">
        <v>85.59</v>
      </c>
      <c r="D1277">
        <v>5</v>
      </c>
      <c r="E1277" s="5">
        <v>2482.11</v>
      </c>
      <c r="F1277" s="3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 s="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 s="5">
        <v>38</v>
      </c>
      <c r="C1278">
        <v>94.79</v>
      </c>
      <c r="D1278">
        <v>1</v>
      </c>
      <c r="E1278" s="5">
        <v>3602.02</v>
      </c>
      <c r="F1278" s="3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s="7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 s="5">
        <v>34</v>
      </c>
      <c r="C1279">
        <v>100</v>
      </c>
      <c r="D1279">
        <v>11</v>
      </c>
      <c r="E1279" s="5">
        <v>3566.94</v>
      </c>
      <c r="F1279" s="3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s="7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 s="5">
        <v>42</v>
      </c>
      <c r="C1280">
        <v>90.19</v>
      </c>
      <c r="D1280">
        <v>3</v>
      </c>
      <c r="E1280" s="5">
        <v>3787.98</v>
      </c>
      <c r="F1280" s="3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s="7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 s="5">
        <v>35</v>
      </c>
      <c r="C1281">
        <v>100</v>
      </c>
      <c r="D1281">
        <v>17</v>
      </c>
      <c r="E1281" s="5">
        <v>3704.05</v>
      </c>
      <c r="F1281" s="3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s="7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 s="5">
        <v>35</v>
      </c>
      <c r="C1282">
        <v>80.989999999999995</v>
      </c>
      <c r="D1282">
        <v>6</v>
      </c>
      <c r="E1282" s="5">
        <v>2834.65</v>
      </c>
      <c r="F1282" s="3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s="7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 s="5">
        <v>38</v>
      </c>
      <c r="C1283">
        <v>89.27</v>
      </c>
      <c r="D1283">
        <v>2</v>
      </c>
      <c r="E1283" s="5">
        <v>3392.26</v>
      </c>
      <c r="F1283" s="3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s="7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 s="5">
        <v>41</v>
      </c>
      <c r="C1284">
        <v>81.91</v>
      </c>
      <c r="D1284">
        <v>1</v>
      </c>
      <c r="E1284" s="5">
        <v>3358.31</v>
      </c>
      <c r="F1284" s="3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s="7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 s="5">
        <v>50</v>
      </c>
      <c r="C1285">
        <v>100</v>
      </c>
      <c r="D1285">
        <v>2</v>
      </c>
      <c r="E1285" s="5">
        <v>7310</v>
      </c>
      <c r="F1285" s="3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s="7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 s="5">
        <v>21</v>
      </c>
      <c r="C1286">
        <v>100</v>
      </c>
      <c r="D1286">
        <v>4</v>
      </c>
      <c r="E1286" s="5">
        <v>2203.11</v>
      </c>
      <c r="F1286" s="3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s="7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 s="5">
        <v>43</v>
      </c>
      <c r="C1287">
        <v>62.72</v>
      </c>
      <c r="D1287">
        <v>8</v>
      </c>
      <c r="E1287" s="5">
        <v>2696.96</v>
      </c>
      <c r="F1287" s="3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 s="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 s="5">
        <v>32</v>
      </c>
      <c r="C1288">
        <v>100</v>
      </c>
      <c r="D1288">
        <v>1</v>
      </c>
      <c r="E1288" s="5">
        <v>3376.64</v>
      </c>
      <c r="F1288" s="3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s="7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 s="5">
        <v>6</v>
      </c>
      <c r="C1289">
        <v>90.19</v>
      </c>
      <c r="D1289">
        <v>3</v>
      </c>
      <c r="E1289" s="5">
        <v>541.14</v>
      </c>
      <c r="F1289" s="3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 s="7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 s="5">
        <v>66</v>
      </c>
      <c r="C1290">
        <v>92.95</v>
      </c>
      <c r="D1290">
        <v>6</v>
      </c>
      <c r="E1290" s="5">
        <v>6134.7</v>
      </c>
      <c r="F1290" s="3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s="7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 s="5">
        <v>41</v>
      </c>
      <c r="C1291">
        <v>82.5</v>
      </c>
      <c r="D1291">
        <v>10</v>
      </c>
      <c r="E1291" s="5">
        <v>3382.5</v>
      </c>
      <c r="F1291" s="3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s="7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 s="5">
        <v>23</v>
      </c>
      <c r="C1292">
        <v>97.42</v>
      </c>
      <c r="D1292">
        <v>4</v>
      </c>
      <c r="E1292" s="5">
        <v>2240.66</v>
      </c>
      <c r="F1292" s="3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s="7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 s="5">
        <v>43</v>
      </c>
      <c r="C1293">
        <v>92.16</v>
      </c>
      <c r="D1293">
        <v>1</v>
      </c>
      <c r="E1293" s="5">
        <v>3962.88</v>
      </c>
      <c r="F1293" s="3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s="7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 s="5">
        <v>24</v>
      </c>
      <c r="C1294">
        <v>70.22</v>
      </c>
      <c r="D1294">
        <v>7</v>
      </c>
      <c r="E1294" s="5">
        <v>1685.28</v>
      </c>
      <c r="F1294" s="3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 s="7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 s="5">
        <v>22</v>
      </c>
      <c r="C1295">
        <v>83.38</v>
      </c>
      <c r="D1295">
        <v>6</v>
      </c>
      <c r="E1295" s="5">
        <v>1834.36</v>
      </c>
      <c r="F1295" s="3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s="7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 s="5">
        <v>26</v>
      </c>
      <c r="C1296">
        <v>73.73</v>
      </c>
      <c r="D1296">
        <v>1</v>
      </c>
      <c r="E1296" s="5">
        <v>1916.98</v>
      </c>
      <c r="F1296" s="3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 s="7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 s="5">
        <v>35</v>
      </c>
      <c r="C1297">
        <v>74.599999999999994</v>
      </c>
      <c r="D1297">
        <v>8</v>
      </c>
      <c r="E1297" s="5">
        <v>2611</v>
      </c>
      <c r="F1297" s="3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s="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 s="5">
        <v>47</v>
      </c>
      <c r="C1298">
        <v>77.239999999999995</v>
      </c>
      <c r="D1298">
        <v>8</v>
      </c>
      <c r="E1298" s="5">
        <v>3630.28</v>
      </c>
      <c r="F1298" s="3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 s="7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 s="5">
        <v>50</v>
      </c>
      <c r="C1299">
        <v>100</v>
      </c>
      <c r="D1299">
        <v>14</v>
      </c>
      <c r="E1299" s="5">
        <v>5090.5</v>
      </c>
      <c r="F1299" s="3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s="7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 s="5">
        <v>45</v>
      </c>
      <c r="C1300">
        <v>87.77</v>
      </c>
      <c r="D1300">
        <v>8</v>
      </c>
      <c r="E1300" s="5">
        <v>3949.65</v>
      </c>
      <c r="F1300" s="3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s="7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 s="5">
        <v>39</v>
      </c>
      <c r="C1301">
        <v>89.53</v>
      </c>
      <c r="D1301">
        <v>2</v>
      </c>
      <c r="E1301" s="5">
        <v>3491.67</v>
      </c>
      <c r="F1301" s="3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s="7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 s="5">
        <v>23</v>
      </c>
      <c r="C1302">
        <v>89.53</v>
      </c>
      <c r="D1302">
        <v>5</v>
      </c>
      <c r="E1302" s="5">
        <v>2059.19</v>
      </c>
      <c r="F1302" s="3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s="7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 s="5">
        <v>42</v>
      </c>
      <c r="C1303">
        <v>75.48</v>
      </c>
      <c r="D1303">
        <v>11</v>
      </c>
      <c r="E1303" s="5">
        <v>3170.16</v>
      </c>
      <c r="F1303" s="3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 s="7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 s="5">
        <v>20</v>
      </c>
      <c r="C1304">
        <v>89.53</v>
      </c>
      <c r="D1304">
        <v>9</v>
      </c>
      <c r="E1304" s="5">
        <v>1790.6</v>
      </c>
      <c r="F1304" s="3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s="7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 s="5">
        <v>33</v>
      </c>
      <c r="C1305">
        <v>71.09</v>
      </c>
      <c r="D1305">
        <v>12</v>
      </c>
      <c r="E1305" s="5">
        <v>2345.9699999999998</v>
      </c>
      <c r="F1305" s="3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s="7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 s="5">
        <v>34</v>
      </c>
      <c r="C1306">
        <v>100</v>
      </c>
      <c r="D1306">
        <v>14</v>
      </c>
      <c r="E1306" s="5">
        <v>3580.88</v>
      </c>
      <c r="F1306" s="3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s="7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 s="5">
        <v>49</v>
      </c>
      <c r="C1307">
        <v>100</v>
      </c>
      <c r="D1307">
        <v>3</v>
      </c>
      <c r="E1307" s="5">
        <v>4946.0600000000004</v>
      </c>
      <c r="F1307" s="3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s="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 s="5">
        <v>39</v>
      </c>
      <c r="C1308">
        <v>90.4</v>
      </c>
      <c r="D1308">
        <v>8</v>
      </c>
      <c r="E1308" s="5">
        <v>3525.6</v>
      </c>
      <c r="F1308" s="3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s="7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 s="5">
        <v>36</v>
      </c>
      <c r="C1309">
        <v>100</v>
      </c>
      <c r="D1309">
        <v>7</v>
      </c>
      <c r="E1309" s="5">
        <v>3602.16</v>
      </c>
      <c r="F1309" s="3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s="7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 s="5">
        <v>50</v>
      </c>
      <c r="C1310">
        <v>86.01</v>
      </c>
      <c r="D1310">
        <v>5</v>
      </c>
      <c r="E1310" s="5">
        <v>4300.5</v>
      </c>
      <c r="F1310" s="3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s="7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 s="5">
        <v>29</v>
      </c>
      <c r="C1311">
        <v>100</v>
      </c>
      <c r="D1311">
        <v>2</v>
      </c>
      <c r="E1311" s="5">
        <v>4498.1899999999996</v>
      </c>
      <c r="F1311" s="3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 s="7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 s="5">
        <v>30</v>
      </c>
      <c r="C1312">
        <v>100</v>
      </c>
      <c r="D1312">
        <v>3</v>
      </c>
      <c r="E1312" s="5">
        <v>3023.1</v>
      </c>
      <c r="F1312" s="3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s="7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 s="5">
        <v>41</v>
      </c>
      <c r="C1313">
        <v>86.89</v>
      </c>
      <c r="D1313">
        <v>7</v>
      </c>
      <c r="E1313" s="5">
        <v>3562.49</v>
      </c>
      <c r="F1313" s="3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s="7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 s="5">
        <v>28</v>
      </c>
      <c r="C1314">
        <v>58.58</v>
      </c>
      <c r="D1314">
        <v>7</v>
      </c>
      <c r="E1314" s="5">
        <v>1640.24</v>
      </c>
      <c r="F1314" s="3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s="7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 s="5">
        <v>45</v>
      </c>
      <c r="C1315">
        <v>100</v>
      </c>
      <c r="D1315">
        <v>5</v>
      </c>
      <c r="E1315" s="5">
        <v>4739.3999999999996</v>
      </c>
      <c r="F1315" s="3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 s="7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 s="5">
        <v>16</v>
      </c>
      <c r="C1316">
        <v>75.48</v>
      </c>
      <c r="D1316">
        <v>11</v>
      </c>
      <c r="E1316" s="5">
        <v>1207.68</v>
      </c>
      <c r="F1316" s="3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 s="7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 s="5">
        <v>36</v>
      </c>
      <c r="C1317">
        <v>100</v>
      </c>
      <c r="D1317">
        <v>5</v>
      </c>
      <c r="E1317" s="5">
        <v>4228.2</v>
      </c>
      <c r="F1317" s="3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s="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 s="5">
        <v>41</v>
      </c>
      <c r="C1318">
        <v>100</v>
      </c>
      <c r="D1318">
        <v>9</v>
      </c>
      <c r="E1318" s="5">
        <v>4815.45</v>
      </c>
      <c r="F1318" s="3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s="7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 s="5">
        <v>50</v>
      </c>
      <c r="C1319">
        <v>100</v>
      </c>
      <c r="D1319">
        <v>5</v>
      </c>
      <c r="E1319" s="5">
        <v>7083</v>
      </c>
      <c r="F1319" s="3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s="7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 s="5">
        <v>40</v>
      </c>
      <c r="C1320">
        <v>100</v>
      </c>
      <c r="D1320">
        <v>5</v>
      </c>
      <c r="E1320" s="5">
        <v>4601.2</v>
      </c>
      <c r="F1320" s="3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 s="7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 s="5">
        <v>49</v>
      </c>
      <c r="C1321">
        <v>100</v>
      </c>
      <c r="D1321">
        <v>2</v>
      </c>
      <c r="E1321" s="5">
        <v>6467.02</v>
      </c>
      <c r="F1321" s="3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s="7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 s="5">
        <v>45</v>
      </c>
      <c r="C1322">
        <v>100</v>
      </c>
      <c r="D1322">
        <v>3</v>
      </c>
      <c r="E1322" s="5">
        <v>5012.55</v>
      </c>
      <c r="F1322" s="3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s="7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 s="5">
        <v>47</v>
      </c>
      <c r="C1323">
        <v>100</v>
      </c>
      <c r="D1323">
        <v>10</v>
      </c>
      <c r="E1323" s="5">
        <v>5121.59</v>
      </c>
      <c r="F1323" s="3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s="7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 s="5">
        <v>21</v>
      </c>
      <c r="C1324">
        <v>100</v>
      </c>
      <c r="D1324">
        <v>2</v>
      </c>
      <c r="E1324" s="5">
        <v>2441.04</v>
      </c>
      <c r="F1324" s="3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 s="7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 s="5">
        <v>32</v>
      </c>
      <c r="C1325">
        <v>100</v>
      </c>
      <c r="D1325">
        <v>5</v>
      </c>
      <c r="E1325" s="5">
        <v>4262.08</v>
      </c>
      <c r="F1325" s="3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s="7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 s="5">
        <v>47</v>
      </c>
      <c r="C1326">
        <v>100</v>
      </c>
      <c r="D1326">
        <v>16</v>
      </c>
      <c r="E1326" s="5">
        <v>6658.02</v>
      </c>
      <c r="F1326" s="3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 s="7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 s="5">
        <v>38</v>
      </c>
      <c r="C1327">
        <v>100</v>
      </c>
      <c r="D1327">
        <v>5</v>
      </c>
      <c r="E1327" s="5">
        <v>4509.08</v>
      </c>
      <c r="F1327" s="3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s="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 s="5">
        <v>41</v>
      </c>
      <c r="C1328">
        <v>100</v>
      </c>
      <c r="D1328">
        <v>10</v>
      </c>
      <c r="E1328" s="5">
        <v>4716.2299999999996</v>
      </c>
      <c r="F1328" s="3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 s="7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 s="5">
        <v>21</v>
      </c>
      <c r="C1329">
        <v>100</v>
      </c>
      <c r="D1329">
        <v>3</v>
      </c>
      <c r="E1329" s="5">
        <v>2390.2199999999998</v>
      </c>
      <c r="F1329" s="3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 s="7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 s="5">
        <v>41</v>
      </c>
      <c r="C1330">
        <v>100</v>
      </c>
      <c r="D1330">
        <v>13</v>
      </c>
      <c r="E1330" s="5">
        <v>4666.62</v>
      </c>
      <c r="F1330" s="3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s="7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 s="5">
        <v>38</v>
      </c>
      <c r="C1331">
        <v>100</v>
      </c>
      <c r="D1331">
        <v>3</v>
      </c>
      <c r="E1331" s="5">
        <v>5383.08</v>
      </c>
      <c r="F1331" s="3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s="7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 s="5">
        <v>25</v>
      </c>
      <c r="C1332">
        <v>99.29</v>
      </c>
      <c r="D1332">
        <v>10</v>
      </c>
      <c r="E1332" s="5">
        <v>2482.25</v>
      </c>
      <c r="F1332" s="3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 s="7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 s="5">
        <v>48</v>
      </c>
      <c r="C1333">
        <v>100</v>
      </c>
      <c r="D1333">
        <v>5</v>
      </c>
      <c r="E1333" s="5">
        <v>5288.64</v>
      </c>
      <c r="F1333" s="3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s="7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 s="5">
        <v>22</v>
      </c>
      <c r="C1334">
        <v>99.29</v>
      </c>
      <c r="D1334">
        <v>14</v>
      </c>
      <c r="E1334" s="5">
        <v>2184.38</v>
      </c>
      <c r="F1334" s="3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 s="7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 s="5">
        <v>28</v>
      </c>
      <c r="C1335">
        <v>100</v>
      </c>
      <c r="D1335">
        <v>8</v>
      </c>
      <c r="E1335" s="5">
        <v>2881.76</v>
      </c>
      <c r="F1335" s="3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s="7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 s="5">
        <v>47</v>
      </c>
      <c r="C1336">
        <v>100</v>
      </c>
      <c r="D1336">
        <v>1</v>
      </c>
      <c r="E1336" s="5">
        <v>6203.06</v>
      </c>
      <c r="F1336" s="3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s="7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 s="5">
        <v>49</v>
      </c>
      <c r="C1337">
        <v>100</v>
      </c>
      <c r="D1337">
        <v>4</v>
      </c>
      <c r="E1337" s="5">
        <v>6763.47</v>
      </c>
      <c r="F1337" s="3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s="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 s="5">
        <v>45</v>
      </c>
      <c r="C1338">
        <v>100</v>
      </c>
      <c r="D1338">
        <v>4</v>
      </c>
      <c r="E1338" s="5">
        <v>5884.65</v>
      </c>
      <c r="F1338" s="3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s="7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 s="5">
        <v>28</v>
      </c>
      <c r="C1339">
        <v>100</v>
      </c>
      <c r="D1339">
        <v>2</v>
      </c>
      <c r="E1339" s="5">
        <v>3559.64</v>
      </c>
      <c r="F1339" s="3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 s="7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 s="5">
        <v>29</v>
      </c>
      <c r="C1340">
        <v>57.53</v>
      </c>
      <c r="D1340">
        <v>6</v>
      </c>
      <c r="E1340" s="5">
        <v>1668.37</v>
      </c>
      <c r="F1340" s="3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s="7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 s="5">
        <v>39</v>
      </c>
      <c r="C1341">
        <v>100</v>
      </c>
      <c r="D1341">
        <v>1</v>
      </c>
      <c r="E1341" s="5">
        <v>4890.6000000000004</v>
      </c>
      <c r="F1341" s="3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 s="7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 s="5">
        <v>46</v>
      </c>
      <c r="C1342">
        <v>100</v>
      </c>
      <c r="D1342">
        <v>3</v>
      </c>
      <c r="E1342" s="5">
        <v>5235.72</v>
      </c>
      <c r="F1342" s="3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s="7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 s="5">
        <v>38</v>
      </c>
      <c r="C1343">
        <v>100</v>
      </c>
      <c r="D1343">
        <v>13</v>
      </c>
      <c r="E1343" s="5">
        <v>4325.16</v>
      </c>
      <c r="F1343" s="3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s="7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 s="5">
        <v>41</v>
      </c>
      <c r="C1344">
        <v>47.29</v>
      </c>
      <c r="D1344">
        <v>9</v>
      </c>
      <c r="E1344" s="5">
        <v>1938.89</v>
      </c>
      <c r="F1344" s="3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s="7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 s="5">
        <v>50</v>
      </c>
      <c r="C1345">
        <v>49.81</v>
      </c>
      <c r="D1345">
        <v>3</v>
      </c>
      <c r="E1345" s="5">
        <v>2490.5</v>
      </c>
      <c r="F1345" s="3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 s="7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 s="5">
        <v>43</v>
      </c>
      <c r="C1346">
        <v>53.83</v>
      </c>
      <c r="D1346">
        <v>9</v>
      </c>
      <c r="E1346" s="5">
        <v>2314.69</v>
      </c>
      <c r="F1346" s="3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s="7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 s="5">
        <v>29</v>
      </c>
      <c r="C1347">
        <v>43.27</v>
      </c>
      <c r="D1347">
        <v>9</v>
      </c>
      <c r="E1347" s="5">
        <v>1254.83</v>
      </c>
      <c r="F1347" s="3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 s="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 s="5">
        <v>30</v>
      </c>
      <c r="C1348">
        <v>42.76</v>
      </c>
      <c r="D1348">
        <v>6</v>
      </c>
      <c r="E1348" s="5">
        <v>1282.8</v>
      </c>
      <c r="F1348" s="3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s="7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 s="5">
        <v>25</v>
      </c>
      <c r="C1349">
        <v>53.83</v>
      </c>
      <c r="D1349">
        <v>7</v>
      </c>
      <c r="E1349" s="5">
        <v>1345.75</v>
      </c>
      <c r="F1349" s="3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s="7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 s="5">
        <v>49</v>
      </c>
      <c r="C1350">
        <v>44.78</v>
      </c>
      <c r="D1350">
        <v>2</v>
      </c>
      <c r="E1350" s="5">
        <v>2194.2199999999998</v>
      </c>
      <c r="F1350" s="3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s="7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 s="5">
        <v>40</v>
      </c>
      <c r="C1351">
        <v>49.3</v>
      </c>
      <c r="D1351">
        <v>6</v>
      </c>
      <c r="E1351" s="5">
        <v>1972</v>
      </c>
      <c r="F1351" s="3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 s="7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 s="5">
        <v>41</v>
      </c>
      <c r="C1352">
        <v>44.78</v>
      </c>
      <c r="D1352">
        <v>9</v>
      </c>
      <c r="E1352" s="5">
        <v>1835.98</v>
      </c>
      <c r="F1352" s="3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s="7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 s="5">
        <v>21</v>
      </c>
      <c r="C1353">
        <v>53.33</v>
      </c>
      <c r="D1353">
        <v>4</v>
      </c>
      <c r="E1353" s="5">
        <v>1119.93</v>
      </c>
      <c r="F1353" s="3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s="7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 s="5">
        <v>46</v>
      </c>
      <c r="C1354">
        <v>45.28</v>
      </c>
      <c r="D1354">
        <v>1</v>
      </c>
      <c r="E1354" s="5">
        <v>2082.88</v>
      </c>
      <c r="F1354" s="3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 s="7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 s="5">
        <v>39</v>
      </c>
      <c r="C1355">
        <v>40.25</v>
      </c>
      <c r="D1355">
        <v>14</v>
      </c>
      <c r="E1355" s="5">
        <v>1569.75</v>
      </c>
      <c r="F1355" s="3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 s="7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 s="5">
        <v>45</v>
      </c>
      <c r="C1356">
        <v>59.87</v>
      </c>
      <c r="D1356">
        <v>7</v>
      </c>
      <c r="E1356" s="5">
        <v>2694.15</v>
      </c>
      <c r="F1356" s="3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 s="7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 s="5">
        <v>21</v>
      </c>
      <c r="C1357">
        <v>59.87</v>
      </c>
      <c r="D1357">
        <v>4</v>
      </c>
      <c r="E1357" s="5">
        <v>1257.27</v>
      </c>
      <c r="F1357" s="3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s="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 s="5">
        <v>44</v>
      </c>
      <c r="C1358">
        <v>58.36</v>
      </c>
      <c r="D1358">
        <v>7</v>
      </c>
      <c r="E1358" s="5">
        <v>2567.84</v>
      </c>
      <c r="F1358" s="3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s="7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 s="5">
        <v>44</v>
      </c>
      <c r="C1359">
        <v>59.87</v>
      </c>
      <c r="D1359">
        <v>14</v>
      </c>
      <c r="E1359" s="5">
        <v>2634.28</v>
      </c>
      <c r="F1359" s="3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 s="7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 s="5">
        <v>29</v>
      </c>
      <c r="C1360">
        <v>51.82</v>
      </c>
      <c r="D1360">
        <v>9</v>
      </c>
      <c r="E1360" s="5">
        <v>1502.78</v>
      </c>
      <c r="F1360" s="3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s="7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 s="5">
        <v>34</v>
      </c>
      <c r="C1361">
        <v>49.3</v>
      </c>
      <c r="D1361">
        <v>4</v>
      </c>
      <c r="E1361" s="5">
        <v>1676.2</v>
      </c>
      <c r="F1361" s="3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s="7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 s="5">
        <v>39</v>
      </c>
      <c r="C1362">
        <v>56.85</v>
      </c>
      <c r="D1362">
        <v>1</v>
      </c>
      <c r="E1362" s="5">
        <v>2217.15</v>
      </c>
      <c r="F1362" s="3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 s="7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 s="5">
        <v>38</v>
      </c>
      <c r="C1363">
        <v>100</v>
      </c>
      <c r="D1363">
        <v>6</v>
      </c>
      <c r="E1363" s="5">
        <v>6832.02</v>
      </c>
      <c r="F1363" s="3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 s="7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 s="5">
        <v>24</v>
      </c>
      <c r="C1364">
        <v>79.86</v>
      </c>
      <c r="D1364">
        <v>8</v>
      </c>
      <c r="E1364" s="5">
        <v>1916.64</v>
      </c>
      <c r="F1364" s="3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 s="7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 s="5">
        <v>29</v>
      </c>
      <c r="C1365">
        <v>100</v>
      </c>
      <c r="D1365">
        <v>6</v>
      </c>
      <c r="E1365" s="5">
        <v>7110.8</v>
      </c>
      <c r="F1365" s="3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s="7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 s="5">
        <v>30</v>
      </c>
      <c r="C1366">
        <v>100</v>
      </c>
      <c r="D1366">
        <v>8</v>
      </c>
      <c r="E1366" s="5">
        <v>5302.8</v>
      </c>
      <c r="F1366" s="3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s="7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 s="5">
        <v>20</v>
      </c>
      <c r="C1367">
        <v>100</v>
      </c>
      <c r="D1367">
        <v>2</v>
      </c>
      <c r="E1367" s="5">
        <v>2730</v>
      </c>
      <c r="F1367" s="3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s="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 s="5">
        <v>39</v>
      </c>
      <c r="C1368">
        <v>100</v>
      </c>
      <c r="D1368">
        <v>2</v>
      </c>
      <c r="E1368" s="5">
        <v>7827.3</v>
      </c>
      <c r="F1368" s="3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 s="7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 s="5">
        <v>35</v>
      </c>
      <c r="C1369">
        <v>59.87</v>
      </c>
      <c r="D1369">
        <v>7</v>
      </c>
      <c r="E1369" s="5">
        <v>2095.4499999999998</v>
      </c>
      <c r="F1369" s="3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s="7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 s="5">
        <v>26</v>
      </c>
      <c r="C1370">
        <v>59.87</v>
      </c>
      <c r="D1370">
        <v>4</v>
      </c>
      <c r="E1370" s="5">
        <v>1556.62</v>
      </c>
      <c r="F1370" s="3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s="7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 s="5">
        <v>44</v>
      </c>
      <c r="C1371">
        <v>100</v>
      </c>
      <c r="D1371">
        <v>11</v>
      </c>
      <c r="E1371" s="5">
        <v>5565.12</v>
      </c>
      <c r="F1371" s="3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s="7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 s="5">
        <v>28</v>
      </c>
      <c r="C1372">
        <v>100</v>
      </c>
      <c r="D1372">
        <v>15</v>
      </c>
      <c r="E1372" s="5">
        <v>3583.16</v>
      </c>
      <c r="F1372" s="3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s="7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 s="5">
        <v>31</v>
      </c>
      <c r="C1373">
        <v>100</v>
      </c>
      <c r="D1373">
        <v>12</v>
      </c>
      <c r="E1373" s="5">
        <v>4705.18</v>
      </c>
      <c r="F1373" s="3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 s="7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 s="5">
        <v>29</v>
      </c>
      <c r="C1374">
        <v>100</v>
      </c>
      <c r="D1374">
        <v>1</v>
      </c>
      <c r="E1374" s="5">
        <v>4444.54</v>
      </c>
      <c r="F1374" s="3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 s="7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 s="5">
        <v>32</v>
      </c>
      <c r="C1375">
        <v>100</v>
      </c>
      <c r="D1375">
        <v>7</v>
      </c>
      <c r="E1375" s="5">
        <v>4618.88</v>
      </c>
      <c r="F1375" s="3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 s="7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 s="5">
        <v>33</v>
      </c>
      <c r="C1376">
        <v>100</v>
      </c>
      <c r="D1376">
        <v>7</v>
      </c>
      <c r="E1376" s="5">
        <v>4910.3999999999996</v>
      </c>
      <c r="F1376" s="3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s="7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 s="5">
        <v>44</v>
      </c>
      <c r="C1377">
        <v>100</v>
      </c>
      <c r="D1377">
        <v>2</v>
      </c>
      <c r="E1377" s="5">
        <v>5565.12</v>
      </c>
      <c r="F1377" s="3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s="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 s="5">
        <v>32</v>
      </c>
      <c r="C1378">
        <v>100</v>
      </c>
      <c r="D1378">
        <v>8</v>
      </c>
      <c r="E1378" s="5">
        <v>4237.76</v>
      </c>
      <c r="F1378" s="3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s="7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 s="5">
        <v>41</v>
      </c>
      <c r="C1379">
        <v>100</v>
      </c>
      <c r="D1379">
        <v>7</v>
      </c>
      <c r="E1379" s="5">
        <v>5673.58</v>
      </c>
      <c r="F1379" s="3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s="7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 s="5">
        <v>35</v>
      </c>
      <c r="C1380">
        <v>100</v>
      </c>
      <c r="D1380">
        <v>14</v>
      </c>
      <c r="E1380" s="5">
        <v>5260.15</v>
      </c>
      <c r="F1380" s="3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s="7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 s="5">
        <v>44</v>
      </c>
      <c r="C1381">
        <v>100</v>
      </c>
      <c r="D1381">
        <v>8</v>
      </c>
      <c r="E1381" s="5">
        <v>6350.96</v>
      </c>
      <c r="F1381" s="3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s="7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 s="5">
        <v>26</v>
      </c>
      <c r="C1382">
        <v>100</v>
      </c>
      <c r="D1382">
        <v>4</v>
      </c>
      <c r="E1382" s="5">
        <v>3559.4</v>
      </c>
      <c r="F1382" s="3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s="7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 s="5">
        <v>20</v>
      </c>
      <c r="C1383">
        <v>100</v>
      </c>
      <c r="D1383">
        <v>2</v>
      </c>
      <c r="E1383" s="5">
        <v>2410.6</v>
      </c>
      <c r="F1383" s="3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 s="7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 s="5">
        <v>48</v>
      </c>
      <c r="C1384">
        <v>100</v>
      </c>
      <c r="D1384">
        <v>8</v>
      </c>
      <c r="E1384" s="5">
        <v>5713.92</v>
      </c>
      <c r="F1384" s="3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 s="7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 s="5">
        <v>34</v>
      </c>
      <c r="C1385">
        <v>100</v>
      </c>
      <c r="D1385">
        <v>17</v>
      </c>
      <c r="E1385" s="5">
        <v>4300.32</v>
      </c>
      <c r="F1385" s="3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s="7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 s="5">
        <v>49</v>
      </c>
      <c r="C1386">
        <v>100</v>
      </c>
      <c r="D1386">
        <v>2</v>
      </c>
      <c r="E1386" s="5">
        <v>7947.31</v>
      </c>
      <c r="F1386" s="3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s="7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 s="5">
        <v>40</v>
      </c>
      <c r="C1387">
        <v>100</v>
      </c>
      <c r="D1387">
        <v>15</v>
      </c>
      <c r="E1387" s="5">
        <v>5356.8</v>
      </c>
      <c r="F1387" s="3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s="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 s="5">
        <v>45</v>
      </c>
      <c r="C1388">
        <v>100</v>
      </c>
      <c r="D1388">
        <v>3</v>
      </c>
      <c r="E1388" s="5">
        <v>7901.1</v>
      </c>
      <c r="F1388" s="3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 s="7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 s="5">
        <v>50</v>
      </c>
      <c r="C1389">
        <v>100</v>
      </c>
      <c r="D1389">
        <v>4</v>
      </c>
      <c r="E1389" s="5">
        <v>6101</v>
      </c>
      <c r="F1389" s="3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s="7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 s="5">
        <v>38</v>
      </c>
      <c r="C1390">
        <v>100</v>
      </c>
      <c r="D1390">
        <v>11</v>
      </c>
      <c r="E1390" s="5">
        <v>6276.46</v>
      </c>
      <c r="F1390" s="3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s="7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 s="5">
        <v>25</v>
      </c>
      <c r="C1391">
        <v>100</v>
      </c>
      <c r="D1391">
        <v>2</v>
      </c>
      <c r="E1391" s="5">
        <v>4203.5</v>
      </c>
      <c r="F1391" s="3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s="7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 s="5">
        <v>28</v>
      </c>
      <c r="C1392">
        <v>58.18</v>
      </c>
      <c r="D1392">
        <v>13</v>
      </c>
      <c r="E1392" s="5">
        <v>1629.04</v>
      </c>
      <c r="F1392" s="3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s="7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 s="5">
        <v>49</v>
      </c>
      <c r="C1393">
        <v>67.14</v>
      </c>
      <c r="D1393">
        <v>8</v>
      </c>
      <c r="E1393" s="5">
        <v>3289.86</v>
      </c>
      <c r="F1393" s="3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s="7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 s="5">
        <v>49</v>
      </c>
      <c r="C1394">
        <v>100</v>
      </c>
      <c r="D1394">
        <v>3</v>
      </c>
      <c r="E1394" s="5">
        <v>6862.94</v>
      </c>
      <c r="F1394" s="3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 s="7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 s="5">
        <v>42</v>
      </c>
      <c r="C1395">
        <v>61.29</v>
      </c>
      <c r="D1395">
        <v>9</v>
      </c>
      <c r="E1395" s="5">
        <v>2574.1799999999998</v>
      </c>
      <c r="F1395" s="3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s="7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 s="5">
        <v>23</v>
      </c>
      <c r="C1396">
        <v>57.73</v>
      </c>
      <c r="D1396">
        <v>8</v>
      </c>
      <c r="E1396" s="5">
        <v>1327.79</v>
      </c>
      <c r="F1396" s="3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 s="7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 s="5">
        <v>29</v>
      </c>
      <c r="C1397">
        <v>81.25</v>
      </c>
      <c r="D1397">
        <v>2</v>
      </c>
      <c r="E1397" s="5">
        <v>2356.25</v>
      </c>
      <c r="F1397" s="3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s="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 s="5">
        <v>25</v>
      </c>
      <c r="C1398">
        <v>80.540000000000006</v>
      </c>
      <c r="D1398">
        <v>1</v>
      </c>
      <c r="E1398" s="5">
        <v>2013.5</v>
      </c>
      <c r="F1398" s="3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s="7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 s="5">
        <v>39</v>
      </c>
      <c r="C1399">
        <v>71.98</v>
      </c>
      <c r="D1399">
        <v>15</v>
      </c>
      <c r="E1399" s="5">
        <v>2807.22</v>
      </c>
      <c r="F1399" s="3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s="7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 s="5">
        <v>44</v>
      </c>
      <c r="C1400">
        <v>69.84</v>
      </c>
      <c r="D1400">
        <v>12</v>
      </c>
      <c r="E1400" s="5">
        <v>3072.96</v>
      </c>
      <c r="F1400" s="3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 s="7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 s="5">
        <v>25</v>
      </c>
      <c r="C1401">
        <v>76.260000000000005</v>
      </c>
      <c r="D1401">
        <v>16</v>
      </c>
      <c r="E1401" s="5">
        <v>1906.5</v>
      </c>
      <c r="F1401" s="3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s="7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 s="5">
        <v>45</v>
      </c>
      <c r="C1402">
        <v>76.260000000000005</v>
      </c>
      <c r="D1402">
        <v>6</v>
      </c>
      <c r="E1402" s="5">
        <v>3431.7</v>
      </c>
      <c r="F1402" s="3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 s="7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 s="5">
        <v>25</v>
      </c>
      <c r="C1403">
        <v>83.39</v>
      </c>
      <c r="D1403">
        <v>2</v>
      </c>
      <c r="E1403" s="5">
        <v>2084.75</v>
      </c>
      <c r="F1403" s="3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s="7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 s="5">
        <v>37</v>
      </c>
      <c r="C1404">
        <v>57.73</v>
      </c>
      <c r="D1404">
        <v>12</v>
      </c>
      <c r="E1404" s="5">
        <v>2136.0100000000002</v>
      </c>
      <c r="F1404" s="3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s="7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 s="5">
        <v>30</v>
      </c>
      <c r="C1405">
        <v>66.989999999999995</v>
      </c>
      <c r="D1405">
        <v>4</v>
      </c>
      <c r="E1405" s="5">
        <v>2009.7</v>
      </c>
      <c r="F1405" s="3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s="7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 s="5">
        <v>36</v>
      </c>
      <c r="C1406">
        <v>75.55</v>
      </c>
      <c r="D1406">
        <v>1</v>
      </c>
      <c r="E1406" s="5">
        <v>2719.8</v>
      </c>
      <c r="F1406" s="3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 s="7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 s="5">
        <v>26</v>
      </c>
      <c r="C1407">
        <v>60.58</v>
      </c>
      <c r="D1407">
        <v>1</v>
      </c>
      <c r="E1407" s="5">
        <v>1575.08</v>
      </c>
      <c r="F1407" s="3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s="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 s="5">
        <v>23</v>
      </c>
      <c r="C1408">
        <v>73.41</v>
      </c>
      <c r="D1408">
        <v>7</v>
      </c>
      <c r="E1408" s="5">
        <v>1688.43</v>
      </c>
      <c r="F1408" s="3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s="7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 s="5">
        <v>23</v>
      </c>
      <c r="C1409">
        <v>72.7</v>
      </c>
      <c r="D1409">
        <v>3</v>
      </c>
      <c r="E1409" s="5">
        <v>1672.1</v>
      </c>
      <c r="F1409" s="3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s="7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 s="5">
        <v>25</v>
      </c>
      <c r="C1410">
        <v>66.989999999999995</v>
      </c>
      <c r="D1410">
        <v>2</v>
      </c>
      <c r="E1410" s="5">
        <v>1674.75</v>
      </c>
      <c r="F1410" s="3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s="7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 s="5">
        <v>21</v>
      </c>
      <c r="C1411">
        <v>100</v>
      </c>
      <c r="D1411">
        <v>3</v>
      </c>
      <c r="E1411" s="5">
        <v>3472.98</v>
      </c>
      <c r="F1411" s="3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s="7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 s="5">
        <v>26</v>
      </c>
      <c r="C1412">
        <v>63.43</v>
      </c>
      <c r="D1412">
        <v>5</v>
      </c>
      <c r="E1412" s="5">
        <v>1649.18</v>
      </c>
      <c r="F1412" s="3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s="7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 s="5">
        <v>44</v>
      </c>
      <c r="C1413">
        <v>85.25</v>
      </c>
      <c r="D1413">
        <v>9</v>
      </c>
      <c r="E1413" s="5">
        <v>3751</v>
      </c>
      <c r="F1413" s="3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 s="7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 s="5">
        <v>24</v>
      </c>
      <c r="C1414">
        <v>100</v>
      </c>
      <c r="D1414">
        <v>2</v>
      </c>
      <c r="E1414" s="5">
        <v>4536</v>
      </c>
      <c r="F1414" s="3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s="7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 s="5">
        <v>66</v>
      </c>
      <c r="C1415">
        <v>66.989999999999995</v>
      </c>
      <c r="D1415">
        <v>4</v>
      </c>
      <c r="E1415" s="5">
        <v>4421.34</v>
      </c>
      <c r="F1415" s="3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 s="7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 s="5">
        <v>36</v>
      </c>
      <c r="C1416">
        <v>57.73</v>
      </c>
      <c r="D1416">
        <v>7</v>
      </c>
      <c r="E1416" s="5">
        <v>2078.2800000000002</v>
      </c>
      <c r="F1416" s="3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s="7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 s="5">
        <v>36</v>
      </c>
      <c r="C1417">
        <v>85.25</v>
      </c>
      <c r="D1417">
        <v>13</v>
      </c>
      <c r="E1417" s="5">
        <v>3069</v>
      </c>
      <c r="F1417" s="3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s="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 s="5">
        <v>22</v>
      </c>
      <c r="C1418">
        <v>77.900000000000006</v>
      </c>
      <c r="D1418">
        <v>12</v>
      </c>
      <c r="E1418" s="5">
        <v>1713.8</v>
      </c>
      <c r="F1418" s="3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 s="7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 s="5">
        <v>25</v>
      </c>
      <c r="C1419">
        <v>60.26</v>
      </c>
      <c r="D1419">
        <v>6</v>
      </c>
      <c r="E1419" s="5">
        <v>1506.5</v>
      </c>
      <c r="F1419" s="3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s="7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 s="5">
        <v>37</v>
      </c>
      <c r="C1420">
        <v>72.760000000000005</v>
      </c>
      <c r="D1420">
        <v>5</v>
      </c>
      <c r="E1420" s="5">
        <v>2692.12</v>
      </c>
      <c r="F1420" s="3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s="7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 s="5">
        <v>32</v>
      </c>
      <c r="C1421">
        <v>75.69</v>
      </c>
      <c r="D1421">
        <v>3</v>
      </c>
      <c r="E1421" s="5">
        <v>2422.08</v>
      </c>
      <c r="F1421" s="3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 s="7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 s="5">
        <v>47</v>
      </c>
      <c r="C1422">
        <v>74.22</v>
      </c>
      <c r="D1422">
        <v>16</v>
      </c>
      <c r="E1422" s="5">
        <v>3488.34</v>
      </c>
      <c r="F1422" s="3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 s="7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 s="5">
        <v>37</v>
      </c>
      <c r="C1423">
        <v>69.819999999999993</v>
      </c>
      <c r="D1423">
        <v>4</v>
      </c>
      <c r="E1423" s="5">
        <v>2583.34</v>
      </c>
      <c r="F1423" s="3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 s="7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 s="5">
        <v>20</v>
      </c>
      <c r="C1424">
        <v>62.47</v>
      </c>
      <c r="D1424">
        <v>10</v>
      </c>
      <c r="E1424" s="5">
        <v>1249.4000000000001</v>
      </c>
      <c r="F1424" s="3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 s="7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 s="5">
        <v>41</v>
      </c>
      <c r="C1425">
        <v>82.31</v>
      </c>
      <c r="D1425">
        <v>3</v>
      </c>
      <c r="E1425" s="5">
        <v>3374.71</v>
      </c>
      <c r="F1425" s="3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s="7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 s="5">
        <v>21</v>
      </c>
      <c r="C1426">
        <v>60.26</v>
      </c>
      <c r="D1426">
        <v>1</v>
      </c>
      <c r="E1426" s="5">
        <v>1265.46</v>
      </c>
      <c r="F1426" s="3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 s="7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 s="5">
        <v>22</v>
      </c>
      <c r="C1427">
        <v>76.430000000000007</v>
      </c>
      <c r="D1427">
        <v>8</v>
      </c>
      <c r="E1427" s="5">
        <v>1681.46</v>
      </c>
      <c r="F1427" s="3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s="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 s="5">
        <v>40</v>
      </c>
      <c r="C1428">
        <v>80.099999999999994</v>
      </c>
      <c r="D1428">
        <v>5</v>
      </c>
      <c r="E1428" s="5">
        <v>3204</v>
      </c>
      <c r="F1428" s="3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 s="7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 s="5">
        <v>32</v>
      </c>
      <c r="C1429">
        <v>74.959999999999994</v>
      </c>
      <c r="D1429">
        <v>5</v>
      </c>
      <c r="E1429" s="5">
        <v>2398.7199999999998</v>
      </c>
      <c r="F1429" s="3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s="7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 s="5">
        <v>36</v>
      </c>
      <c r="C1430">
        <v>66.14</v>
      </c>
      <c r="D1430">
        <v>11</v>
      </c>
      <c r="E1430" s="5">
        <v>2381.04</v>
      </c>
      <c r="F1430" s="3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s="7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 s="5">
        <v>27</v>
      </c>
      <c r="C1431">
        <v>72.02</v>
      </c>
      <c r="D1431">
        <v>1</v>
      </c>
      <c r="E1431" s="5">
        <v>1944.54</v>
      </c>
      <c r="F1431" s="3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s="7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 s="5">
        <v>26</v>
      </c>
      <c r="C1432">
        <v>87.45</v>
      </c>
      <c r="D1432">
        <v>6</v>
      </c>
      <c r="E1432" s="5">
        <v>2273.6999999999998</v>
      </c>
      <c r="F1432" s="3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s="7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 s="5">
        <v>30</v>
      </c>
      <c r="C1433">
        <v>70.55</v>
      </c>
      <c r="D1433">
        <v>3</v>
      </c>
      <c r="E1433" s="5">
        <v>2116.5</v>
      </c>
      <c r="F1433" s="3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 s="7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 s="5">
        <v>23</v>
      </c>
      <c r="C1434">
        <v>56.84</v>
      </c>
      <c r="D1434">
        <v>4</v>
      </c>
      <c r="E1434" s="5">
        <v>1307.32</v>
      </c>
      <c r="F1434" s="3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s="7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 s="5">
        <v>29</v>
      </c>
      <c r="C1435">
        <v>59.53</v>
      </c>
      <c r="D1435">
        <v>7</v>
      </c>
      <c r="E1435" s="5">
        <v>1726.37</v>
      </c>
      <c r="F1435" s="3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s="7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 s="5">
        <v>21</v>
      </c>
      <c r="C1436">
        <v>60.37</v>
      </c>
      <c r="D1436">
        <v>10</v>
      </c>
      <c r="E1436" s="5">
        <v>1267.77</v>
      </c>
      <c r="F1436" s="3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 s="7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 s="5">
        <v>34</v>
      </c>
      <c r="C1437">
        <v>100</v>
      </c>
      <c r="D1437">
        <v>3</v>
      </c>
      <c r="E1437" s="5">
        <v>3441.82</v>
      </c>
      <c r="F1437" s="3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s="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 s="5">
        <v>26</v>
      </c>
      <c r="C1438">
        <v>76.430000000000007</v>
      </c>
      <c r="D1438">
        <v>8</v>
      </c>
      <c r="E1438" s="5">
        <v>1987.18</v>
      </c>
      <c r="F1438" s="3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 s="7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 s="5">
        <v>60</v>
      </c>
      <c r="C1439">
        <v>64.67</v>
      </c>
      <c r="D1439">
        <v>11</v>
      </c>
      <c r="E1439" s="5">
        <v>3880.2</v>
      </c>
      <c r="F1439" s="3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s="7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 s="5">
        <v>35</v>
      </c>
      <c r="C1440">
        <v>55.49</v>
      </c>
      <c r="D1440">
        <v>6</v>
      </c>
      <c r="E1440" s="5">
        <v>1942.15</v>
      </c>
      <c r="F1440" s="3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s="7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 s="5">
        <v>47</v>
      </c>
      <c r="C1441">
        <v>69.36</v>
      </c>
      <c r="D1441">
        <v>2</v>
      </c>
      <c r="E1441" s="5">
        <v>3259.92</v>
      </c>
      <c r="F1441" s="3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 s="7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 s="5">
        <v>20</v>
      </c>
      <c r="C1442">
        <v>60.69</v>
      </c>
      <c r="D1442">
        <v>8</v>
      </c>
      <c r="E1442" s="5">
        <v>1213.8</v>
      </c>
      <c r="F1442" s="3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 s="7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 s="5">
        <v>20</v>
      </c>
      <c r="C1443">
        <v>54.33</v>
      </c>
      <c r="D1443">
        <v>2</v>
      </c>
      <c r="E1443" s="5">
        <v>1086.5999999999999</v>
      </c>
      <c r="F1443" s="3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s="7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 s="5">
        <v>25</v>
      </c>
      <c r="C1444">
        <v>65.31</v>
      </c>
      <c r="D1444">
        <v>4</v>
      </c>
      <c r="E1444" s="5">
        <v>1632.75</v>
      </c>
      <c r="F1444" s="3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s="7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 s="5">
        <v>25</v>
      </c>
      <c r="C1445">
        <v>69.36</v>
      </c>
      <c r="D1445">
        <v>9</v>
      </c>
      <c r="E1445" s="5">
        <v>1734</v>
      </c>
      <c r="F1445" s="3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s="7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 s="5">
        <v>27</v>
      </c>
      <c r="C1446">
        <v>68.78</v>
      </c>
      <c r="D1446">
        <v>8</v>
      </c>
      <c r="E1446" s="5">
        <v>1857.06</v>
      </c>
      <c r="F1446" s="3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s="7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 s="5">
        <v>31</v>
      </c>
      <c r="C1447">
        <v>60.11</v>
      </c>
      <c r="D1447">
        <v>3</v>
      </c>
      <c r="E1447" s="5">
        <v>1863.41</v>
      </c>
      <c r="F1447" s="3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s="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 s="5">
        <v>44</v>
      </c>
      <c r="C1448">
        <v>66.47</v>
      </c>
      <c r="D1448">
        <v>3</v>
      </c>
      <c r="E1448" s="5">
        <v>2924.68</v>
      </c>
      <c r="F1448" s="3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 s="7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 s="5">
        <v>49</v>
      </c>
      <c r="C1449">
        <v>46.82</v>
      </c>
      <c r="D1449">
        <v>4</v>
      </c>
      <c r="E1449" s="5">
        <v>2294.1799999999998</v>
      </c>
      <c r="F1449" s="3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 s="7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 s="5">
        <v>26</v>
      </c>
      <c r="C1450">
        <v>56.07</v>
      </c>
      <c r="D1450">
        <v>8</v>
      </c>
      <c r="E1450" s="5">
        <v>1457.82</v>
      </c>
      <c r="F1450" s="3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s="7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 s="5">
        <v>36</v>
      </c>
      <c r="C1451">
        <v>54.33</v>
      </c>
      <c r="D1451">
        <v>6</v>
      </c>
      <c r="E1451" s="5">
        <v>1955.88</v>
      </c>
      <c r="F1451" s="3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s="7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 s="5">
        <v>44</v>
      </c>
      <c r="C1452">
        <v>52.6</v>
      </c>
      <c r="D1452">
        <v>2</v>
      </c>
      <c r="E1452" s="5">
        <v>2314.4</v>
      </c>
      <c r="F1452" s="3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s="7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 s="5">
        <v>28</v>
      </c>
      <c r="C1453">
        <v>46.82</v>
      </c>
      <c r="D1453">
        <v>1</v>
      </c>
      <c r="E1453" s="5">
        <v>1310.96</v>
      </c>
      <c r="F1453" s="3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s="7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 s="5">
        <v>45</v>
      </c>
      <c r="C1454">
        <v>64.739999999999995</v>
      </c>
      <c r="D1454">
        <v>2</v>
      </c>
      <c r="E1454" s="5">
        <v>2913.3</v>
      </c>
      <c r="F1454" s="3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 s="7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 s="5">
        <v>29</v>
      </c>
      <c r="C1455">
        <v>46.82</v>
      </c>
      <c r="D1455">
        <v>11</v>
      </c>
      <c r="E1455" s="5">
        <v>1357.78</v>
      </c>
      <c r="F1455" s="3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 s="7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 s="5">
        <v>40</v>
      </c>
      <c r="C1456">
        <v>53.75</v>
      </c>
      <c r="D1456">
        <v>5</v>
      </c>
      <c r="E1456" s="5">
        <v>2150</v>
      </c>
      <c r="F1456" s="3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 s="7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 s="5">
        <v>45</v>
      </c>
      <c r="C1457">
        <v>61.85</v>
      </c>
      <c r="D1457">
        <v>2</v>
      </c>
      <c r="E1457" s="5">
        <v>2783.25</v>
      </c>
      <c r="F1457" s="3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 s="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 s="5">
        <v>44</v>
      </c>
      <c r="C1458">
        <v>53.18</v>
      </c>
      <c r="D1458">
        <v>11</v>
      </c>
      <c r="E1458" s="5">
        <v>2339.92</v>
      </c>
      <c r="F1458" s="3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s="7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 s="5">
        <v>25</v>
      </c>
      <c r="C1459">
        <v>69.16</v>
      </c>
      <c r="D1459">
        <v>14</v>
      </c>
      <c r="E1459" s="5">
        <v>1729</v>
      </c>
      <c r="F1459" s="3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 s="7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 s="5">
        <v>45</v>
      </c>
      <c r="C1460">
        <v>100</v>
      </c>
      <c r="D1460">
        <v>4</v>
      </c>
      <c r="E1460" s="5">
        <v>5972.4</v>
      </c>
      <c r="F1460" s="3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s="7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 s="5">
        <v>48</v>
      </c>
      <c r="C1461">
        <v>47.4</v>
      </c>
      <c r="D1461">
        <v>4</v>
      </c>
      <c r="E1461" s="5">
        <v>2275.1999999999998</v>
      </c>
      <c r="F1461" s="3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 s="7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 s="5">
        <v>44</v>
      </c>
      <c r="C1462">
        <v>60.76</v>
      </c>
      <c r="D1462">
        <v>14</v>
      </c>
      <c r="E1462" s="5">
        <v>2673.44</v>
      </c>
      <c r="F1462" s="3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s="7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 s="5">
        <v>25</v>
      </c>
      <c r="C1463">
        <v>97.27</v>
      </c>
      <c r="D1463">
        <v>12</v>
      </c>
      <c r="E1463" s="5">
        <v>2431.75</v>
      </c>
      <c r="F1463" s="3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 s="7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 s="5">
        <v>22</v>
      </c>
      <c r="C1464">
        <v>91.76</v>
      </c>
      <c r="D1464">
        <v>2</v>
      </c>
      <c r="E1464" s="5">
        <v>2018.72</v>
      </c>
      <c r="F1464" s="3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s="7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 s="5">
        <v>31</v>
      </c>
      <c r="C1465">
        <v>50.29</v>
      </c>
      <c r="D1465">
        <v>2</v>
      </c>
      <c r="E1465" s="5">
        <v>1558.99</v>
      </c>
      <c r="F1465" s="3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s="7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 s="5">
        <v>21</v>
      </c>
      <c r="C1466">
        <v>52.6</v>
      </c>
      <c r="D1466">
        <v>2</v>
      </c>
      <c r="E1466" s="5">
        <v>1104.5999999999999</v>
      </c>
      <c r="F1466" s="3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s="7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 s="5">
        <v>55</v>
      </c>
      <c r="C1467">
        <v>46.82</v>
      </c>
      <c r="D1467">
        <v>1</v>
      </c>
      <c r="E1467" s="5">
        <v>2575.1</v>
      </c>
      <c r="F1467" s="3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s="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 s="5">
        <v>25</v>
      </c>
      <c r="C1468">
        <v>100</v>
      </c>
      <c r="D1468">
        <v>3</v>
      </c>
      <c r="E1468" s="5">
        <v>2845.75</v>
      </c>
      <c r="F1468" s="3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 s="7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 s="5">
        <v>35</v>
      </c>
      <c r="C1469">
        <v>98.05</v>
      </c>
      <c r="D1469">
        <v>1</v>
      </c>
      <c r="E1469" s="5">
        <v>3431.75</v>
      </c>
      <c r="F1469" s="3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s="7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 s="5">
        <v>35</v>
      </c>
      <c r="C1470">
        <v>93.54</v>
      </c>
      <c r="D1470">
        <v>3</v>
      </c>
      <c r="E1470" s="5">
        <v>3273.9</v>
      </c>
      <c r="F1470" s="3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s="7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 s="5">
        <v>43</v>
      </c>
      <c r="C1471">
        <v>95.8</v>
      </c>
      <c r="D1471">
        <v>7</v>
      </c>
      <c r="E1471" s="5">
        <v>4119.3999999999996</v>
      </c>
      <c r="F1471" s="3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 s="7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 s="5">
        <v>44</v>
      </c>
      <c r="C1472">
        <v>100</v>
      </c>
      <c r="D1472">
        <v>15</v>
      </c>
      <c r="E1472" s="5">
        <v>5355.68</v>
      </c>
      <c r="F1472" s="3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 s="7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 s="5">
        <v>50</v>
      </c>
      <c r="C1473">
        <v>100</v>
      </c>
      <c r="D1473">
        <v>2</v>
      </c>
      <c r="E1473" s="5">
        <v>5747.5</v>
      </c>
      <c r="F1473" s="3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 s="7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 s="5">
        <v>48</v>
      </c>
      <c r="C1474">
        <v>100</v>
      </c>
      <c r="D1474">
        <v>10</v>
      </c>
      <c r="E1474" s="5">
        <v>5355.36</v>
      </c>
      <c r="F1474" s="3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s="7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 s="5">
        <v>25</v>
      </c>
      <c r="C1475">
        <v>100</v>
      </c>
      <c r="D1475">
        <v>2</v>
      </c>
      <c r="E1475" s="5">
        <v>2535.75</v>
      </c>
      <c r="F1475" s="3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s="7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 s="5">
        <v>39</v>
      </c>
      <c r="C1476">
        <v>100</v>
      </c>
      <c r="D1476">
        <v>3</v>
      </c>
      <c r="E1476" s="5">
        <v>4351.2299999999996</v>
      </c>
      <c r="F1476" s="3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 s="7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 s="5">
        <v>25</v>
      </c>
      <c r="C1477">
        <v>90.16</v>
      </c>
      <c r="D1477">
        <v>15</v>
      </c>
      <c r="E1477" s="5">
        <v>2254</v>
      </c>
      <c r="F1477" s="3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s="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 s="5">
        <v>32</v>
      </c>
      <c r="C1478">
        <v>91.29</v>
      </c>
      <c r="D1478">
        <v>2</v>
      </c>
      <c r="E1478" s="5">
        <v>2921.28</v>
      </c>
      <c r="F1478" s="3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s="7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 s="5">
        <v>20</v>
      </c>
      <c r="C1479">
        <v>100</v>
      </c>
      <c r="D1479">
        <v>8</v>
      </c>
      <c r="E1479" s="5">
        <v>2299</v>
      </c>
      <c r="F1479" s="3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 s="7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 s="5">
        <v>26</v>
      </c>
      <c r="C1480">
        <v>100</v>
      </c>
      <c r="D1480">
        <v>3</v>
      </c>
      <c r="E1480" s="5">
        <v>2637.18</v>
      </c>
      <c r="F1480" s="3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 s="7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 s="5">
        <v>42</v>
      </c>
      <c r="C1481">
        <v>100</v>
      </c>
      <c r="D1481">
        <v>3</v>
      </c>
      <c r="E1481" s="5">
        <v>4307.5200000000004</v>
      </c>
      <c r="F1481" s="3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 s="7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 s="5">
        <v>21</v>
      </c>
      <c r="C1482">
        <v>100</v>
      </c>
      <c r="D1482">
        <v>2</v>
      </c>
      <c r="E1482" s="5">
        <v>2153.7600000000002</v>
      </c>
      <c r="F1482" s="3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s="7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 s="5">
        <v>34</v>
      </c>
      <c r="C1483">
        <v>100</v>
      </c>
      <c r="D1483">
        <v>7</v>
      </c>
      <c r="E1483" s="5">
        <v>3716.88</v>
      </c>
      <c r="F1483" s="3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 s="7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 s="5">
        <v>47</v>
      </c>
      <c r="C1484">
        <v>100</v>
      </c>
      <c r="D1484">
        <v>10</v>
      </c>
      <c r="E1484" s="5">
        <v>5455.76</v>
      </c>
      <c r="F1484" s="3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s="7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 s="5">
        <v>21</v>
      </c>
      <c r="C1485">
        <v>100</v>
      </c>
      <c r="D1485">
        <v>6</v>
      </c>
      <c r="E1485" s="5">
        <v>2650.62</v>
      </c>
      <c r="F1485" s="3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s="7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 s="5">
        <v>48</v>
      </c>
      <c r="C1486">
        <v>100</v>
      </c>
      <c r="D1486">
        <v>2</v>
      </c>
      <c r="E1486" s="5">
        <v>6437.28</v>
      </c>
      <c r="F1486" s="3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 s="7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 s="5">
        <v>30</v>
      </c>
      <c r="C1487">
        <v>87.78</v>
      </c>
      <c r="D1487">
        <v>7</v>
      </c>
      <c r="E1487" s="5">
        <v>2633.4</v>
      </c>
      <c r="F1487" s="3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 s="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 s="5">
        <v>27</v>
      </c>
      <c r="C1488">
        <v>84.39</v>
      </c>
      <c r="D1488">
        <v>10</v>
      </c>
      <c r="E1488" s="5">
        <v>2278.5300000000002</v>
      </c>
      <c r="F1488" s="3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s="7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 s="5">
        <v>50</v>
      </c>
      <c r="C1489">
        <v>96.92</v>
      </c>
      <c r="D1489">
        <v>2</v>
      </c>
      <c r="E1489" s="5">
        <v>4846</v>
      </c>
      <c r="F1489" s="3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 s="7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 s="5">
        <v>38</v>
      </c>
      <c r="C1490">
        <v>100</v>
      </c>
      <c r="D1490">
        <v>6</v>
      </c>
      <c r="E1490" s="5">
        <v>4197.1000000000004</v>
      </c>
      <c r="F1490" s="3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s="7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 s="5">
        <v>45</v>
      </c>
      <c r="C1491">
        <v>100</v>
      </c>
      <c r="D1491">
        <v>1</v>
      </c>
      <c r="E1491" s="5">
        <v>4597.6499999999996</v>
      </c>
      <c r="F1491" s="3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s="7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 s="5">
        <v>46</v>
      </c>
      <c r="C1492">
        <v>100</v>
      </c>
      <c r="D1492">
        <v>8</v>
      </c>
      <c r="E1492" s="5">
        <v>5287.7</v>
      </c>
      <c r="F1492" s="3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s="7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 s="5">
        <v>35</v>
      </c>
      <c r="C1493">
        <v>100</v>
      </c>
      <c r="D1493">
        <v>3</v>
      </c>
      <c r="E1493" s="5">
        <v>3550.05</v>
      </c>
      <c r="F1493" s="3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s="7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 s="5">
        <v>29</v>
      </c>
      <c r="C1494">
        <v>59.37</v>
      </c>
      <c r="D1494">
        <v>15</v>
      </c>
      <c r="E1494" s="5">
        <v>1721.73</v>
      </c>
      <c r="F1494" s="3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s="7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 s="5">
        <v>50</v>
      </c>
      <c r="C1495">
        <v>59.87</v>
      </c>
      <c r="D1495">
        <v>1</v>
      </c>
      <c r="E1495" s="5">
        <v>2993.5</v>
      </c>
      <c r="F1495" s="3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s="7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 s="5">
        <v>26</v>
      </c>
      <c r="C1496">
        <v>49.81</v>
      </c>
      <c r="D1496">
        <v>1</v>
      </c>
      <c r="E1496" s="5">
        <v>1295.06</v>
      </c>
      <c r="F1496" s="3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s="7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 s="5">
        <v>47</v>
      </c>
      <c r="C1497">
        <v>56.85</v>
      </c>
      <c r="D1497">
        <v>8</v>
      </c>
      <c r="E1497" s="5">
        <v>2671.95</v>
      </c>
      <c r="F1497" s="3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s="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 s="5">
        <v>23</v>
      </c>
      <c r="C1498">
        <v>53.33</v>
      </c>
      <c r="D1498">
        <v>7</v>
      </c>
      <c r="E1498" s="5">
        <v>1226.5899999999999</v>
      </c>
      <c r="F1498" s="3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s="7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 s="5">
        <v>34</v>
      </c>
      <c r="C1499">
        <v>42.76</v>
      </c>
      <c r="D1499">
        <v>5</v>
      </c>
      <c r="E1499" s="5">
        <v>1453.84</v>
      </c>
      <c r="F1499" s="3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 s="7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 s="5">
        <v>34</v>
      </c>
      <c r="C1500">
        <v>53.83</v>
      </c>
      <c r="D1500">
        <v>1</v>
      </c>
      <c r="E1500" s="5">
        <v>1830.22</v>
      </c>
      <c r="F1500" s="3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s="7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 s="5">
        <v>47</v>
      </c>
      <c r="C1501">
        <v>53.83</v>
      </c>
      <c r="D1501">
        <v>6</v>
      </c>
      <c r="E1501" s="5">
        <v>2530.0100000000002</v>
      </c>
      <c r="F1501" s="3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 s="7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 s="5">
        <v>45</v>
      </c>
      <c r="C1502">
        <v>49.81</v>
      </c>
      <c r="D1502">
        <v>12</v>
      </c>
      <c r="E1502" s="5">
        <v>2241.4499999999998</v>
      </c>
      <c r="F1502" s="3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 s="7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 s="5">
        <v>45</v>
      </c>
      <c r="C1503">
        <v>53.33</v>
      </c>
      <c r="D1503">
        <v>5</v>
      </c>
      <c r="E1503" s="5">
        <v>2399.85</v>
      </c>
      <c r="F1503" s="3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s="7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 s="5">
        <v>36</v>
      </c>
      <c r="C1504">
        <v>43.27</v>
      </c>
      <c r="D1504">
        <v>3</v>
      </c>
      <c r="E1504" s="5">
        <v>1557.72</v>
      </c>
      <c r="F1504" s="3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 s="7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 s="5">
        <v>21</v>
      </c>
      <c r="C1505">
        <v>40.25</v>
      </c>
      <c r="D1505">
        <v>10</v>
      </c>
      <c r="E1505" s="5">
        <v>845.25</v>
      </c>
      <c r="F1505" s="3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s="7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 s="5">
        <v>28</v>
      </c>
      <c r="C1506">
        <v>48.3</v>
      </c>
      <c r="D1506">
        <v>1</v>
      </c>
      <c r="E1506" s="5">
        <v>1352.4</v>
      </c>
      <c r="F1506" s="3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s="7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 s="5">
        <v>35</v>
      </c>
      <c r="C1507">
        <v>45.28</v>
      </c>
      <c r="D1507">
        <v>1</v>
      </c>
      <c r="E1507" s="5">
        <v>1584.8</v>
      </c>
      <c r="F1507" s="3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 s="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 s="5">
        <v>50</v>
      </c>
      <c r="C1508">
        <v>52.32</v>
      </c>
      <c r="D1508">
        <v>13</v>
      </c>
      <c r="E1508" s="5">
        <v>2616</v>
      </c>
      <c r="F1508" s="3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s="7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 s="5">
        <v>22</v>
      </c>
      <c r="C1509">
        <v>51.32</v>
      </c>
      <c r="D1509">
        <v>3</v>
      </c>
      <c r="E1509" s="5">
        <v>1129.04</v>
      </c>
      <c r="F1509" s="3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s="7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 s="5">
        <v>45</v>
      </c>
      <c r="C1510">
        <v>49.3</v>
      </c>
      <c r="D1510">
        <v>8</v>
      </c>
      <c r="E1510" s="5">
        <v>2218.5</v>
      </c>
      <c r="F1510" s="3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s="7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 s="5">
        <v>48</v>
      </c>
      <c r="C1511">
        <v>42.26</v>
      </c>
      <c r="D1511">
        <v>5</v>
      </c>
      <c r="E1511" s="5">
        <v>2028.48</v>
      </c>
      <c r="F1511" s="3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 s="7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 s="5">
        <v>20</v>
      </c>
      <c r="C1512">
        <v>87.96</v>
      </c>
      <c r="D1512">
        <v>5</v>
      </c>
      <c r="E1512" s="5">
        <v>1759.2</v>
      </c>
      <c r="F1512" s="3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s="7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 s="5">
        <v>27</v>
      </c>
      <c r="C1513">
        <v>36.21</v>
      </c>
      <c r="D1513">
        <v>6</v>
      </c>
      <c r="E1513" s="5">
        <v>977.67</v>
      </c>
      <c r="F1513" s="3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s="7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 s="5">
        <v>38</v>
      </c>
      <c r="C1514">
        <v>38.5</v>
      </c>
      <c r="D1514">
        <v>11</v>
      </c>
      <c r="E1514" s="5">
        <v>1463</v>
      </c>
      <c r="F1514" s="3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 s="7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 s="5">
        <v>32</v>
      </c>
      <c r="C1515">
        <v>100</v>
      </c>
      <c r="D1515">
        <v>3</v>
      </c>
      <c r="E1515" s="5">
        <v>3970.56</v>
      </c>
      <c r="F1515" s="3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s="7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 s="5">
        <v>64</v>
      </c>
      <c r="C1516">
        <v>40.25</v>
      </c>
      <c r="D1516">
        <v>10</v>
      </c>
      <c r="E1516" s="5">
        <v>2576</v>
      </c>
      <c r="F1516" s="3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 s="7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 s="5">
        <v>37</v>
      </c>
      <c r="C1517">
        <v>60.37</v>
      </c>
      <c r="D1517">
        <v>13</v>
      </c>
      <c r="E1517" s="5">
        <v>2233.69</v>
      </c>
      <c r="F1517" s="3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s="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 s="5">
        <v>28</v>
      </c>
      <c r="C1518">
        <v>88.63</v>
      </c>
      <c r="D1518">
        <v>4</v>
      </c>
      <c r="E1518" s="5">
        <v>2481.64</v>
      </c>
      <c r="F1518" s="3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s="7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 s="5">
        <v>39</v>
      </c>
      <c r="C1519">
        <v>100</v>
      </c>
      <c r="D1519">
        <v>10</v>
      </c>
      <c r="E1519" s="5">
        <v>4651.53</v>
      </c>
      <c r="F1519" s="3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s="7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 s="5">
        <v>41</v>
      </c>
      <c r="C1520">
        <v>94.1</v>
      </c>
      <c r="D1520">
        <v>5</v>
      </c>
      <c r="E1520" s="5">
        <v>3858.1</v>
      </c>
      <c r="F1520" s="3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s="7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 s="5">
        <v>40</v>
      </c>
      <c r="C1521">
        <v>87.54</v>
      </c>
      <c r="D1521">
        <v>16</v>
      </c>
      <c r="E1521" s="5">
        <v>3501.6</v>
      </c>
      <c r="F1521" s="3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 s="7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 s="5">
        <v>49</v>
      </c>
      <c r="C1522">
        <v>100</v>
      </c>
      <c r="D1522">
        <v>11</v>
      </c>
      <c r="E1522" s="5">
        <v>6433.7</v>
      </c>
      <c r="F1522" s="3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 s="7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 s="5">
        <v>27</v>
      </c>
      <c r="C1523">
        <v>98.48</v>
      </c>
      <c r="D1523">
        <v>9</v>
      </c>
      <c r="E1523" s="5">
        <v>2658.96</v>
      </c>
      <c r="F1523" s="3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s="7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 s="5">
        <v>34</v>
      </c>
      <c r="C1524">
        <v>100</v>
      </c>
      <c r="D1524">
        <v>11</v>
      </c>
      <c r="E1524" s="5">
        <v>3608.76</v>
      </c>
      <c r="F1524" s="3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s="7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 s="5">
        <v>23</v>
      </c>
      <c r="C1525">
        <v>96.29</v>
      </c>
      <c r="D1525">
        <v>5</v>
      </c>
      <c r="E1525" s="5">
        <v>2214.67</v>
      </c>
      <c r="F1525" s="3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s="7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 s="5">
        <v>31</v>
      </c>
      <c r="C1526">
        <v>88.63</v>
      </c>
      <c r="D1526">
        <v>6</v>
      </c>
      <c r="E1526" s="5">
        <v>2747.53</v>
      </c>
      <c r="F1526" s="3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 s="7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 s="5">
        <v>34</v>
      </c>
      <c r="C1527">
        <v>97.38</v>
      </c>
      <c r="D1527">
        <v>1</v>
      </c>
      <c r="E1527" s="5">
        <v>3310.92</v>
      </c>
      <c r="F1527" s="3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s="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 s="5">
        <v>25</v>
      </c>
      <c r="C1528">
        <v>95.2</v>
      </c>
      <c r="D1528">
        <v>11</v>
      </c>
      <c r="E1528" s="5">
        <v>2380</v>
      </c>
      <c r="F1528" s="3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s="7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 s="5">
        <v>22</v>
      </c>
      <c r="C1529">
        <v>100</v>
      </c>
      <c r="D1529">
        <v>3</v>
      </c>
      <c r="E1529" s="5">
        <v>2310.88</v>
      </c>
      <c r="F1529" s="3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s="7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 s="5">
        <v>32</v>
      </c>
      <c r="C1530">
        <v>100</v>
      </c>
      <c r="D1530">
        <v>6</v>
      </c>
      <c r="E1530" s="5">
        <v>4061.76</v>
      </c>
      <c r="F1530" s="3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s="7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 s="5">
        <v>31</v>
      </c>
      <c r="C1531">
        <v>100</v>
      </c>
      <c r="D1531">
        <v>9</v>
      </c>
      <c r="E1531" s="5">
        <v>3493.7</v>
      </c>
      <c r="F1531" s="3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 s="7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 s="5">
        <v>25</v>
      </c>
      <c r="C1532">
        <v>100</v>
      </c>
      <c r="D1532">
        <v>1</v>
      </c>
      <c r="E1532" s="5">
        <v>2872.25</v>
      </c>
      <c r="F1532" s="3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s="7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 s="5">
        <v>47</v>
      </c>
      <c r="C1533">
        <v>87.54</v>
      </c>
      <c r="D1533">
        <v>14</v>
      </c>
      <c r="E1533" s="5">
        <v>4114.38</v>
      </c>
      <c r="F1533" s="3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s="7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 s="5">
        <v>21</v>
      </c>
      <c r="C1534">
        <v>50.65</v>
      </c>
      <c r="D1534">
        <v>7</v>
      </c>
      <c r="E1534" s="5">
        <v>1063.6500000000001</v>
      </c>
      <c r="F1534" s="3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s="7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 s="5">
        <v>28</v>
      </c>
      <c r="C1535">
        <v>71.73</v>
      </c>
      <c r="D1535">
        <v>2</v>
      </c>
      <c r="E1535" s="5">
        <v>2008.44</v>
      </c>
      <c r="F1535" s="3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 s="7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 s="5">
        <v>46</v>
      </c>
      <c r="C1536">
        <v>94.1</v>
      </c>
      <c r="D1536">
        <v>3</v>
      </c>
      <c r="E1536" s="5">
        <v>4328.6000000000004</v>
      </c>
      <c r="F1536" s="3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s="7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 s="5">
        <v>33</v>
      </c>
      <c r="C1537">
        <v>41.71</v>
      </c>
      <c r="D1537">
        <v>11</v>
      </c>
      <c r="E1537" s="5">
        <v>1376.43</v>
      </c>
      <c r="F1537" s="3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s="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 s="5">
        <v>43</v>
      </c>
      <c r="C1538">
        <v>100</v>
      </c>
      <c r="D1538">
        <v>16</v>
      </c>
      <c r="E1538" s="5">
        <v>5552.16</v>
      </c>
      <c r="F1538" s="3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s="7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 s="5">
        <v>38</v>
      </c>
      <c r="C1539">
        <v>96.29</v>
      </c>
      <c r="D1539">
        <v>5</v>
      </c>
      <c r="E1539" s="5">
        <v>3659.02</v>
      </c>
      <c r="F1539" s="3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 s="7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 s="5">
        <v>47</v>
      </c>
      <c r="C1540">
        <v>88.63</v>
      </c>
      <c r="D1540">
        <v>6</v>
      </c>
      <c r="E1540" s="5">
        <v>4165.6099999999997</v>
      </c>
      <c r="F1540" s="3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s="7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 s="5">
        <v>45</v>
      </c>
      <c r="C1541">
        <v>31.2</v>
      </c>
      <c r="D1541">
        <v>3</v>
      </c>
      <c r="E1541" s="5">
        <v>1404</v>
      </c>
      <c r="F1541" s="3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s="7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 s="5">
        <v>20</v>
      </c>
      <c r="C1542">
        <v>35.51</v>
      </c>
      <c r="D1542">
        <v>3</v>
      </c>
      <c r="E1542" s="5">
        <v>710.2</v>
      </c>
      <c r="F1542" s="3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s="7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 s="5">
        <v>45</v>
      </c>
      <c r="C1543">
        <v>37.840000000000003</v>
      </c>
      <c r="D1543">
        <v>2</v>
      </c>
      <c r="E1543" s="5">
        <v>1702.8</v>
      </c>
      <c r="F1543" s="3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 s="7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 s="5">
        <v>36</v>
      </c>
      <c r="C1544">
        <v>33.19</v>
      </c>
      <c r="D1544">
        <v>7</v>
      </c>
      <c r="E1544" s="5">
        <v>1194.8399999999999</v>
      </c>
      <c r="F1544" s="3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 s="7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 s="5">
        <v>37</v>
      </c>
      <c r="C1545">
        <v>27.22</v>
      </c>
      <c r="D1545">
        <v>5</v>
      </c>
      <c r="E1545" s="5">
        <v>1007.14</v>
      </c>
      <c r="F1545" s="3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 s="7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 s="5">
        <v>31</v>
      </c>
      <c r="C1546">
        <v>31.53</v>
      </c>
      <c r="D1546">
        <v>9</v>
      </c>
      <c r="E1546" s="5">
        <v>977.43</v>
      </c>
      <c r="F1546" s="3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s="7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 s="5">
        <v>39</v>
      </c>
      <c r="C1547">
        <v>36.840000000000003</v>
      </c>
      <c r="D1547">
        <v>6</v>
      </c>
      <c r="E1547" s="5">
        <v>1436.76</v>
      </c>
      <c r="F1547" s="3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 s="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 s="5">
        <v>26</v>
      </c>
      <c r="C1548">
        <v>29.21</v>
      </c>
      <c r="D1548">
        <v>10</v>
      </c>
      <c r="E1548" s="5">
        <v>759.46</v>
      </c>
      <c r="F1548" s="3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s="7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 s="5">
        <v>32</v>
      </c>
      <c r="C1549">
        <v>37.17</v>
      </c>
      <c r="D1549">
        <v>5</v>
      </c>
      <c r="E1549" s="5">
        <v>1189.44</v>
      </c>
      <c r="F1549" s="3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s="7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 s="5">
        <v>20</v>
      </c>
      <c r="C1550">
        <v>34.19</v>
      </c>
      <c r="D1550">
        <v>3</v>
      </c>
      <c r="E1550" s="5">
        <v>683.8</v>
      </c>
      <c r="F1550" s="3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s="7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 s="5">
        <v>42</v>
      </c>
      <c r="C1551">
        <v>29.21</v>
      </c>
      <c r="D1551">
        <v>6</v>
      </c>
      <c r="E1551" s="5">
        <v>1226.82</v>
      </c>
      <c r="F1551" s="3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s="7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 s="5">
        <v>33</v>
      </c>
      <c r="C1552">
        <v>29.54</v>
      </c>
      <c r="D1552">
        <v>1</v>
      </c>
      <c r="E1552" s="5">
        <v>974.82</v>
      </c>
      <c r="F1552" s="3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 s="7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 s="5">
        <v>20</v>
      </c>
      <c r="C1553">
        <v>28.88</v>
      </c>
      <c r="D1553">
        <v>12</v>
      </c>
      <c r="E1553" s="5">
        <v>577.6</v>
      </c>
      <c r="F1553" s="3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s="7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 s="5">
        <v>29</v>
      </c>
      <c r="C1554">
        <v>38.17</v>
      </c>
      <c r="D1554">
        <v>1</v>
      </c>
      <c r="E1554" s="5">
        <v>1106.93</v>
      </c>
      <c r="F1554" s="3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s="7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 s="5">
        <v>23</v>
      </c>
      <c r="C1555">
        <v>30.2</v>
      </c>
      <c r="D1555">
        <v>16</v>
      </c>
      <c r="E1555" s="5">
        <v>694.6</v>
      </c>
      <c r="F1555" s="3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s="7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 s="5">
        <v>39</v>
      </c>
      <c r="C1556">
        <v>29.54</v>
      </c>
      <c r="D1556">
        <v>13</v>
      </c>
      <c r="E1556" s="5">
        <v>1152.06</v>
      </c>
      <c r="F1556" s="3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 s="7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 s="5">
        <v>20</v>
      </c>
      <c r="C1557">
        <v>100</v>
      </c>
      <c r="D1557">
        <v>3</v>
      </c>
      <c r="E1557" s="5">
        <v>2624</v>
      </c>
      <c r="F1557" s="3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 s="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 s="5">
        <v>45</v>
      </c>
      <c r="C1558">
        <v>81.91</v>
      </c>
      <c r="D1558">
        <v>6</v>
      </c>
      <c r="E1558" s="5">
        <v>3685.95</v>
      </c>
      <c r="F1558" s="3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s="7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 s="5">
        <v>20</v>
      </c>
      <c r="C1559">
        <v>35.18</v>
      </c>
      <c r="D1559">
        <v>6</v>
      </c>
      <c r="E1559" s="5">
        <v>703.6</v>
      </c>
      <c r="F1559" s="3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s="7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 s="5">
        <v>48</v>
      </c>
      <c r="C1560">
        <v>100</v>
      </c>
      <c r="D1560">
        <v>5</v>
      </c>
      <c r="E1560" s="5">
        <v>9720</v>
      </c>
      <c r="F1560" s="3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s="7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 s="5">
        <v>23</v>
      </c>
      <c r="C1561">
        <v>36.29</v>
      </c>
      <c r="D1561">
        <v>13</v>
      </c>
      <c r="E1561" s="5">
        <v>834.67</v>
      </c>
      <c r="F1561" s="3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 s="7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 s="5">
        <v>32</v>
      </c>
      <c r="C1562">
        <v>70.56</v>
      </c>
      <c r="D1562">
        <v>4</v>
      </c>
      <c r="E1562" s="5">
        <v>2257.92</v>
      </c>
      <c r="F1562" s="3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s="7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 s="5">
        <v>33</v>
      </c>
      <c r="C1563">
        <v>100</v>
      </c>
      <c r="D1563">
        <v>8</v>
      </c>
      <c r="E1563" s="5">
        <v>8344.7099999999991</v>
      </c>
      <c r="F1563" s="3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s="7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 s="5">
        <v>61</v>
      </c>
      <c r="C1564">
        <v>29.54</v>
      </c>
      <c r="D1564">
        <v>1</v>
      </c>
      <c r="E1564" s="5">
        <v>1801.94</v>
      </c>
      <c r="F1564" s="3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s="7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 s="5">
        <v>45</v>
      </c>
      <c r="C1565">
        <v>26.88</v>
      </c>
      <c r="D1565">
        <v>1</v>
      </c>
      <c r="E1565" s="5">
        <v>1209.5999999999999</v>
      </c>
      <c r="F1565" s="3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s="7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 s="5">
        <v>38</v>
      </c>
      <c r="C1566">
        <v>83.03</v>
      </c>
      <c r="D1566">
        <v>7</v>
      </c>
      <c r="E1566" s="5">
        <v>3155.14</v>
      </c>
      <c r="F1566" s="3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 s="7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 s="5">
        <v>34</v>
      </c>
      <c r="C1567">
        <v>83.79</v>
      </c>
      <c r="D1567">
        <v>5</v>
      </c>
      <c r="E1567" s="5">
        <v>2848.86</v>
      </c>
      <c r="F1567" s="3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s="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 s="5">
        <v>43</v>
      </c>
      <c r="C1568">
        <v>83.03</v>
      </c>
      <c r="D1568">
        <v>7</v>
      </c>
      <c r="E1568" s="5">
        <v>3570.29</v>
      </c>
      <c r="F1568" s="3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s="7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 s="5">
        <v>47</v>
      </c>
      <c r="C1569">
        <v>83.03</v>
      </c>
      <c r="D1569">
        <v>11</v>
      </c>
      <c r="E1569" s="5">
        <v>3902.41</v>
      </c>
      <c r="F1569" s="3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 s="7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 s="5">
        <v>22</v>
      </c>
      <c r="C1570">
        <v>67.03</v>
      </c>
      <c r="D1570">
        <v>1</v>
      </c>
      <c r="E1570" s="5">
        <v>1474.66</v>
      </c>
      <c r="F1570" s="3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s="7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 s="5">
        <v>29</v>
      </c>
      <c r="C1571">
        <v>75.41</v>
      </c>
      <c r="D1571">
        <v>6</v>
      </c>
      <c r="E1571" s="5">
        <v>2186.89</v>
      </c>
      <c r="F1571" s="3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 s="7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 s="5">
        <v>28</v>
      </c>
      <c r="C1572">
        <v>68.55</v>
      </c>
      <c r="D1572">
        <v>14</v>
      </c>
      <c r="E1572" s="5">
        <v>1919.4</v>
      </c>
      <c r="F1572" s="3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s="7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 s="5">
        <v>40</v>
      </c>
      <c r="C1573">
        <v>91.4</v>
      </c>
      <c r="D1573">
        <v>6</v>
      </c>
      <c r="E1573" s="5">
        <v>3656</v>
      </c>
      <c r="F1573" s="3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s="7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 s="5">
        <v>25</v>
      </c>
      <c r="C1574">
        <v>73.88</v>
      </c>
      <c r="D1574">
        <v>7</v>
      </c>
      <c r="E1574" s="5">
        <v>1847</v>
      </c>
      <c r="F1574" s="3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 s="7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 s="5">
        <v>30</v>
      </c>
      <c r="C1575">
        <v>61.7</v>
      </c>
      <c r="D1575">
        <v>4</v>
      </c>
      <c r="E1575" s="5">
        <v>1851</v>
      </c>
      <c r="F1575" s="3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s="7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 s="5">
        <v>38</v>
      </c>
      <c r="C1576">
        <v>69.31</v>
      </c>
      <c r="D1576">
        <v>6</v>
      </c>
      <c r="E1576" s="5">
        <v>2633.78</v>
      </c>
      <c r="F1576" s="3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s="7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 s="5">
        <v>36</v>
      </c>
      <c r="C1577">
        <v>87.6</v>
      </c>
      <c r="D1577">
        <v>3</v>
      </c>
      <c r="E1577" s="5">
        <v>3153.6</v>
      </c>
      <c r="F1577" s="3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 s="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 s="5">
        <v>32</v>
      </c>
      <c r="C1578">
        <v>87.6</v>
      </c>
      <c r="D1578">
        <v>1</v>
      </c>
      <c r="E1578" s="5">
        <v>2803.2</v>
      </c>
      <c r="F1578" s="3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 s="7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 s="5">
        <v>37</v>
      </c>
      <c r="C1579">
        <v>62.46</v>
      </c>
      <c r="D1579">
        <v>7</v>
      </c>
      <c r="E1579" s="5">
        <v>2311.02</v>
      </c>
      <c r="F1579" s="3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 s="7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 s="5">
        <v>30</v>
      </c>
      <c r="C1580">
        <v>79.98</v>
      </c>
      <c r="D1580">
        <v>6</v>
      </c>
      <c r="E1580" s="5">
        <v>2399.4</v>
      </c>
      <c r="F1580" s="3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s="7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 s="5">
        <v>39</v>
      </c>
      <c r="C1581">
        <v>70.08</v>
      </c>
      <c r="D1581">
        <v>11</v>
      </c>
      <c r="E1581" s="5">
        <v>2733.12</v>
      </c>
      <c r="F1581" s="3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 s="7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 s="5">
        <v>32</v>
      </c>
      <c r="C1582">
        <v>65.510000000000005</v>
      </c>
      <c r="D1582">
        <v>1</v>
      </c>
      <c r="E1582" s="5">
        <v>2096.3200000000002</v>
      </c>
      <c r="F1582" s="3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s="7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 s="5">
        <v>47</v>
      </c>
      <c r="C1583">
        <v>63.22</v>
      </c>
      <c r="D1583">
        <v>4</v>
      </c>
      <c r="E1583" s="5">
        <v>2971.34</v>
      </c>
      <c r="F1583" s="3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 s="7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 s="5">
        <v>26</v>
      </c>
      <c r="C1584">
        <v>86.83</v>
      </c>
      <c r="D1584">
        <v>6</v>
      </c>
      <c r="E1584" s="5">
        <v>2257.58</v>
      </c>
      <c r="F1584" s="3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 s="7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 s="5">
        <v>37</v>
      </c>
      <c r="C1585">
        <v>94.43</v>
      </c>
      <c r="D1585">
        <v>4</v>
      </c>
      <c r="E1585" s="5">
        <v>3493.91</v>
      </c>
      <c r="F1585" s="3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 s="7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 s="5">
        <v>55</v>
      </c>
      <c r="C1586">
        <v>79.98</v>
      </c>
      <c r="D1586">
        <v>8</v>
      </c>
      <c r="E1586" s="5">
        <v>4398.8999999999996</v>
      </c>
      <c r="F1586" s="3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s="7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 s="5">
        <v>21</v>
      </c>
      <c r="C1587">
        <v>100</v>
      </c>
      <c r="D1587">
        <v>8</v>
      </c>
      <c r="E1587" s="5">
        <v>3595.62</v>
      </c>
      <c r="F1587" s="3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s="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 s="5">
        <v>23</v>
      </c>
      <c r="C1588">
        <v>100</v>
      </c>
      <c r="D1588">
        <v>9</v>
      </c>
      <c r="E1588" s="5">
        <v>2443.29</v>
      </c>
      <c r="F1588" s="3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s="7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 s="5">
        <v>49</v>
      </c>
      <c r="C1589">
        <v>81.400000000000006</v>
      </c>
      <c r="D1589">
        <v>2</v>
      </c>
      <c r="E1589" s="5">
        <v>3988.6</v>
      </c>
      <c r="F1589" s="3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s="7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 s="5">
        <v>59</v>
      </c>
      <c r="C1590">
        <v>87.6</v>
      </c>
      <c r="D1590">
        <v>3</v>
      </c>
      <c r="E1590" s="5">
        <v>5168.3999999999996</v>
      </c>
      <c r="F1590" s="3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s="7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 s="5">
        <v>32</v>
      </c>
      <c r="C1591">
        <v>87.6</v>
      </c>
      <c r="D1591">
        <v>1</v>
      </c>
      <c r="E1591" s="5">
        <v>2803.2</v>
      </c>
      <c r="F1591" s="3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s="7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 s="5">
        <v>43</v>
      </c>
      <c r="C1592">
        <v>100</v>
      </c>
      <c r="D1592">
        <v>9</v>
      </c>
      <c r="E1592" s="5">
        <v>6341.21</v>
      </c>
      <c r="F1592" s="3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s="7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 s="5">
        <v>41</v>
      </c>
      <c r="C1593">
        <v>100</v>
      </c>
      <c r="D1593">
        <v>3</v>
      </c>
      <c r="E1593" s="5">
        <v>5189.78</v>
      </c>
      <c r="F1593" s="3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s="7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 s="5">
        <v>45</v>
      </c>
      <c r="C1594">
        <v>100</v>
      </c>
      <c r="D1594">
        <v>9</v>
      </c>
      <c r="E1594" s="5">
        <v>6027.75</v>
      </c>
      <c r="F1594" s="3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s="7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 s="5">
        <v>33</v>
      </c>
      <c r="C1595">
        <v>100</v>
      </c>
      <c r="D1595">
        <v>6</v>
      </c>
      <c r="E1595" s="5">
        <v>3366</v>
      </c>
      <c r="F1595" s="3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 s="7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 s="5">
        <v>40</v>
      </c>
      <c r="C1596">
        <v>100</v>
      </c>
      <c r="D1596">
        <v>5</v>
      </c>
      <c r="E1596" s="5">
        <v>5456.4</v>
      </c>
      <c r="F1596" s="3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s="7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 s="5">
        <v>33</v>
      </c>
      <c r="C1597">
        <v>100</v>
      </c>
      <c r="D1597">
        <v>16</v>
      </c>
      <c r="E1597" s="5">
        <v>3812.16</v>
      </c>
      <c r="F1597" s="3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s="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 s="5">
        <v>50</v>
      </c>
      <c r="C1598">
        <v>100</v>
      </c>
      <c r="D1598">
        <v>7</v>
      </c>
      <c r="E1598" s="5">
        <v>6083</v>
      </c>
      <c r="F1598" s="3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s="7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 s="5">
        <v>30</v>
      </c>
      <c r="C1599">
        <v>100</v>
      </c>
      <c r="D1599">
        <v>7</v>
      </c>
      <c r="E1599" s="5">
        <v>3170.7</v>
      </c>
      <c r="F1599" s="3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 s="7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 s="5">
        <v>41</v>
      </c>
      <c r="C1600">
        <v>100</v>
      </c>
      <c r="D1600">
        <v>13</v>
      </c>
      <c r="E1600" s="5">
        <v>4534.6000000000004</v>
      </c>
      <c r="F1600" s="3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s="7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 s="5">
        <v>35</v>
      </c>
      <c r="C1601">
        <v>100</v>
      </c>
      <c r="D1601">
        <v>7</v>
      </c>
      <c r="E1601" s="5">
        <v>4301.1499999999996</v>
      </c>
      <c r="F1601" s="3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s="7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 s="5">
        <v>49</v>
      </c>
      <c r="C1602">
        <v>100</v>
      </c>
      <c r="D1602">
        <v>1</v>
      </c>
      <c r="E1602" s="5">
        <v>6804.63</v>
      </c>
      <c r="F1602" s="3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s="7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 s="5">
        <v>46</v>
      </c>
      <c r="C1603">
        <v>100</v>
      </c>
      <c r="D1603">
        <v>4</v>
      </c>
      <c r="E1603" s="5">
        <v>5652.94</v>
      </c>
      <c r="F1603" s="3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s="7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 s="5">
        <v>48</v>
      </c>
      <c r="C1604">
        <v>100</v>
      </c>
      <c r="D1604">
        <v>10</v>
      </c>
      <c r="E1604" s="5">
        <v>6960.48</v>
      </c>
      <c r="F1604" s="3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 s="7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 s="5">
        <v>36</v>
      </c>
      <c r="C1605">
        <v>100</v>
      </c>
      <c r="D1605">
        <v>8</v>
      </c>
      <c r="E1605" s="5">
        <v>4512.6000000000004</v>
      </c>
      <c r="F1605" s="3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s="7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 s="5">
        <v>22</v>
      </c>
      <c r="C1606">
        <v>100</v>
      </c>
      <c r="D1606">
        <v>11</v>
      </c>
      <c r="E1606" s="5">
        <v>2784.76</v>
      </c>
      <c r="F1606" s="3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s="7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 s="5">
        <v>42</v>
      </c>
      <c r="C1607">
        <v>100</v>
      </c>
      <c r="D1607">
        <v>13</v>
      </c>
      <c r="E1607" s="5">
        <v>5316.36</v>
      </c>
      <c r="F1607" s="3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s="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 s="5">
        <v>21</v>
      </c>
      <c r="C1608">
        <v>100</v>
      </c>
      <c r="D1608">
        <v>2</v>
      </c>
      <c r="E1608" s="5">
        <v>2941.89</v>
      </c>
      <c r="F1608" s="3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s="7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 s="5">
        <v>29</v>
      </c>
      <c r="C1609">
        <v>100</v>
      </c>
      <c r="D1609">
        <v>7</v>
      </c>
      <c r="E1609" s="5">
        <v>3207.4</v>
      </c>
      <c r="F1609" s="3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s="7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 s="5">
        <v>35</v>
      </c>
      <c r="C1610">
        <v>100</v>
      </c>
      <c r="D1610">
        <v>6</v>
      </c>
      <c r="E1610" s="5">
        <v>4215.05</v>
      </c>
      <c r="F1610" s="3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s="7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 s="5">
        <v>41</v>
      </c>
      <c r="C1611">
        <v>100</v>
      </c>
      <c r="D1611">
        <v>4</v>
      </c>
      <c r="E1611" s="5">
        <v>4333.29</v>
      </c>
      <c r="F1611" s="3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s="7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 s="5">
        <v>29</v>
      </c>
      <c r="C1612">
        <v>71.97</v>
      </c>
      <c r="D1612">
        <v>4</v>
      </c>
      <c r="E1612" s="5">
        <v>2087.13</v>
      </c>
      <c r="F1612" s="3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 s="7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 s="5">
        <v>34</v>
      </c>
      <c r="C1613">
        <v>50.33</v>
      </c>
      <c r="D1613">
        <v>7</v>
      </c>
      <c r="E1613" s="5">
        <v>1711.22</v>
      </c>
      <c r="F1613" s="3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s="7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 s="5">
        <v>37</v>
      </c>
      <c r="C1614">
        <v>100</v>
      </c>
      <c r="D1614">
        <v>8</v>
      </c>
      <c r="E1614" s="5">
        <v>3910.53</v>
      </c>
      <c r="F1614" s="3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s="7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 s="5">
        <v>28</v>
      </c>
      <c r="C1615">
        <v>80.540000000000006</v>
      </c>
      <c r="D1615">
        <v>3</v>
      </c>
      <c r="E1615" s="5">
        <v>2255.12</v>
      </c>
      <c r="F1615" s="3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 s="7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 s="5">
        <v>49</v>
      </c>
      <c r="C1616">
        <v>100</v>
      </c>
      <c r="D1616">
        <v>6</v>
      </c>
      <c r="E1616" s="5">
        <v>5720.75</v>
      </c>
      <c r="F1616" s="3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 s="7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 s="5">
        <v>23</v>
      </c>
      <c r="C1617">
        <v>100</v>
      </c>
      <c r="D1617">
        <v>10</v>
      </c>
      <c r="E1617" s="5">
        <v>3335.23</v>
      </c>
      <c r="F1617" s="3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 s="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 s="5">
        <v>46</v>
      </c>
      <c r="C1618">
        <v>53.76</v>
      </c>
      <c r="D1618">
        <v>2</v>
      </c>
      <c r="E1618" s="5">
        <v>2472.96</v>
      </c>
      <c r="F1618" s="3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s="7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 s="5">
        <v>39</v>
      </c>
      <c r="C1619">
        <v>44.35</v>
      </c>
      <c r="D1619">
        <v>2</v>
      </c>
      <c r="E1619" s="5">
        <v>1729.65</v>
      </c>
      <c r="F1619" s="3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s="7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 s="5">
        <v>22</v>
      </c>
      <c r="C1620">
        <v>45.25</v>
      </c>
      <c r="D1620">
        <v>1</v>
      </c>
      <c r="E1620" s="5">
        <v>995.5</v>
      </c>
      <c r="F1620" s="3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 s="7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 s="5">
        <v>49</v>
      </c>
      <c r="C1621">
        <v>49.28</v>
      </c>
      <c r="D1621">
        <v>6</v>
      </c>
      <c r="E1621" s="5">
        <v>2414.7199999999998</v>
      </c>
      <c r="F1621" s="3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 s="7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 s="5">
        <v>43</v>
      </c>
      <c r="C1622">
        <v>36.29</v>
      </c>
      <c r="D1622">
        <v>4</v>
      </c>
      <c r="E1622" s="5">
        <v>1560.47</v>
      </c>
      <c r="F1622" s="3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 s="7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 s="5">
        <v>27</v>
      </c>
      <c r="C1623">
        <v>41.22</v>
      </c>
      <c r="D1623">
        <v>8</v>
      </c>
      <c r="E1623" s="5">
        <v>1112.94</v>
      </c>
      <c r="F1623" s="3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s="7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 s="5">
        <v>31</v>
      </c>
      <c r="C1624">
        <v>36.74</v>
      </c>
      <c r="D1624">
        <v>5</v>
      </c>
      <c r="E1624" s="5">
        <v>1138.94</v>
      </c>
      <c r="F1624" s="3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 s="7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 s="5">
        <v>20</v>
      </c>
      <c r="C1625">
        <v>50.62</v>
      </c>
      <c r="D1625">
        <v>9</v>
      </c>
      <c r="E1625" s="5">
        <v>1012.4</v>
      </c>
      <c r="F1625" s="3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s="7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 s="5">
        <v>24</v>
      </c>
      <c r="C1626">
        <v>38.08</v>
      </c>
      <c r="D1626">
        <v>4</v>
      </c>
      <c r="E1626" s="5">
        <v>913.92</v>
      </c>
      <c r="F1626" s="3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s="7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 s="5">
        <v>49</v>
      </c>
      <c r="C1627">
        <v>47.94</v>
      </c>
      <c r="D1627">
        <v>2</v>
      </c>
      <c r="E1627" s="5">
        <v>2349.06</v>
      </c>
      <c r="F1627" s="3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s="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 s="5">
        <v>24</v>
      </c>
      <c r="C1628">
        <v>48.38</v>
      </c>
      <c r="D1628">
        <v>5</v>
      </c>
      <c r="E1628" s="5">
        <v>1161.1199999999999</v>
      </c>
      <c r="F1628" s="3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s="7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 s="5">
        <v>39</v>
      </c>
      <c r="C1629">
        <v>45.25</v>
      </c>
      <c r="D1629">
        <v>9</v>
      </c>
      <c r="E1629" s="5">
        <v>1764.75</v>
      </c>
      <c r="F1629" s="3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s="7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 s="5">
        <v>37</v>
      </c>
      <c r="C1630">
        <v>45.7</v>
      </c>
      <c r="D1630">
        <v>2</v>
      </c>
      <c r="E1630" s="5">
        <v>1690.9</v>
      </c>
      <c r="F1630" s="3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s="7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 s="5">
        <v>45</v>
      </c>
      <c r="C1631">
        <v>47.49</v>
      </c>
      <c r="D1631">
        <v>11</v>
      </c>
      <c r="E1631" s="5">
        <v>2137.0500000000002</v>
      </c>
      <c r="F1631" s="3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s="7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 s="5">
        <v>45</v>
      </c>
      <c r="C1632">
        <v>48.38</v>
      </c>
      <c r="D1632">
        <v>4</v>
      </c>
      <c r="E1632" s="5">
        <v>2177.1</v>
      </c>
      <c r="F1632" s="3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s="7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 s="5">
        <v>44</v>
      </c>
      <c r="C1633">
        <v>39.42</v>
      </c>
      <c r="D1633">
        <v>15</v>
      </c>
      <c r="E1633" s="5">
        <v>1734.48</v>
      </c>
      <c r="F1633" s="3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s="7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 s="5">
        <v>23</v>
      </c>
      <c r="C1634">
        <v>37.630000000000003</v>
      </c>
      <c r="D1634">
        <v>12</v>
      </c>
      <c r="E1634" s="5">
        <v>865.49</v>
      </c>
      <c r="F1634" s="3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 s="7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 s="5">
        <v>30</v>
      </c>
      <c r="C1635">
        <v>100</v>
      </c>
      <c r="D1635">
        <v>4</v>
      </c>
      <c r="E1635" s="5">
        <v>3500.1</v>
      </c>
      <c r="F1635" s="3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 s="7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 s="5">
        <v>26</v>
      </c>
      <c r="C1636">
        <v>85.52</v>
      </c>
      <c r="D1636">
        <v>10</v>
      </c>
      <c r="E1636" s="5">
        <v>2223.52</v>
      </c>
      <c r="F1636" s="3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s="7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 s="5">
        <v>43</v>
      </c>
      <c r="C1637">
        <v>53.76</v>
      </c>
      <c r="D1637">
        <v>1</v>
      </c>
      <c r="E1637" s="5">
        <v>2311.6799999999998</v>
      </c>
      <c r="F1637" s="3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s="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 s="5">
        <v>26</v>
      </c>
      <c r="C1638">
        <v>31.86</v>
      </c>
      <c r="D1638">
        <v>7</v>
      </c>
      <c r="E1638" s="5">
        <v>828.36</v>
      </c>
      <c r="F1638" s="3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s="7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 s="5">
        <v>28</v>
      </c>
      <c r="C1639">
        <v>30.59</v>
      </c>
      <c r="D1639">
        <v>12</v>
      </c>
      <c r="E1639" s="5">
        <v>856.52</v>
      </c>
      <c r="F1639" s="3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 s="7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 s="5">
        <v>27</v>
      </c>
      <c r="C1640">
        <v>68.349999999999994</v>
      </c>
      <c r="D1640">
        <v>5</v>
      </c>
      <c r="E1640" s="5">
        <v>1845.45</v>
      </c>
      <c r="F1640" s="3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s="7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 s="5">
        <v>24</v>
      </c>
      <c r="C1641">
        <v>100</v>
      </c>
      <c r="D1641">
        <v>1</v>
      </c>
      <c r="E1641" s="5">
        <v>4042.08</v>
      </c>
      <c r="F1641" s="3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s="7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 s="5">
        <v>40</v>
      </c>
      <c r="C1642">
        <v>45.7</v>
      </c>
      <c r="D1642">
        <v>2</v>
      </c>
      <c r="E1642" s="5">
        <v>1828</v>
      </c>
      <c r="F1642" s="3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 s="7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 s="5">
        <v>36</v>
      </c>
      <c r="C1643">
        <v>100</v>
      </c>
      <c r="D1643">
        <v>1</v>
      </c>
      <c r="E1643" s="5">
        <v>3680.28</v>
      </c>
      <c r="F1643" s="3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s="7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 s="5">
        <v>21</v>
      </c>
      <c r="C1644">
        <v>100</v>
      </c>
      <c r="D1644">
        <v>5</v>
      </c>
      <c r="E1644" s="5">
        <v>2925.09</v>
      </c>
      <c r="F1644" s="3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s="7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 s="5">
        <v>27</v>
      </c>
      <c r="C1645">
        <v>100</v>
      </c>
      <c r="D1645">
        <v>1</v>
      </c>
      <c r="E1645" s="5">
        <v>3415.77</v>
      </c>
      <c r="F1645" s="3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s="7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 s="5">
        <v>47</v>
      </c>
      <c r="C1646">
        <v>100</v>
      </c>
      <c r="D1646">
        <v>1</v>
      </c>
      <c r="E1646" s="5">
        <v>5105.1400000000003</v>
      </c>
      <c r="F1646" s="3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 s="7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 s="5">
        <v>42</v>
      </c>
      <c r="C1647">
        <v>100</v>
      </c>
      <c r="D1647">
        <v>8</v>
      </c>
      <c r="E1647" s="5">
        <v>5098.8</v>
      </c>
      <c r="F1647" s="3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s="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 s="5">
        <v>32</v>
      </c>
      <c r="C1648">
        <v>100</v>
      </c>
      <c r="D1648">
        <v>17</v>
      </c>
      <c r="E1648" s="5">
        <v>4661.76</v>
      </c>
      <c r="F1648" s="3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s="7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 s="5">
        <v>28</v>
      </c>
      <c r="C1649">
        <v>100</v>
      </c>
      <c r="D1649">
        <v>6</v>
      </c>
      <c r="E1649" s="5">
        <v>2969.96</v>
      </c>
      <c r="F1649" s="3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s="7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 s="5">
        <v>24</v>
      </c>
      <c r="C1650">
        <v>100</v>
      </c>
      <c r="D1650">
        <v>11</v>
      </c>
      <c r="E1650" s="5">
        <v>3496.32</v>
      </c>
      <c r="F1650" s="3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s="7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 s="5">
        <v>49</v>
      </c>
      <c r="C1651">
        <v>100</v>
      </c>
      <c r="D1651">
        <v>1</v>
      </c>
      <c r="E1651" s="5">
        <v>5760.93</v>
      </c>
      <c r="F1651" s="3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s="7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 s="5">
        <v>46</v>
      </c>
      <c r="C1652">
        <v>100</v>
      </c>
      <c r="D1652">
        <v>12</v>
      </c>
      <c r="E1652" s="5">
        <v>6819.04</v>
      </c>
      <c r="F1652" s="3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 s="7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 s="5">
        <v>28</v>
      </c>
      <c r="C1653">
        <v>100</v>
      </c>
      <c r="D1653">
        <v>1</v>
      </c>
      <c r="E1653" s="5">
        <v>3148.88</v>
      </c>
      <c r="F1653" s="3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s="7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 s="5">
        <v>48</v>
      </c>
      <c r="C1654">
        <v>100</v>
      </c>
      <c r="D1654">
        <v>6</v>
      </c>
      <c r="E1654" s="5">
        <v>5704.32</v>
      </c>
      <c r="F1654" s="3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 s="7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 s="5">
        <v>29</v>
      </c>
      <c r="C1655">
        <v>100</v>
      </c>
      <c r="D1655">
        <v>10</v>
      </c>
      <c r="E1655" s="5">
        <v>3520.6</v>
      </c>
      <c r="F1655" s="3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s="7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 s="5">
        <v>47</v>
      </c>
      <c r="C1656">
        <v>100</v>
      </c>
      <c r="D1656">
        <v>9</v>
      </c>
      <c r="E1656" s="5">
        <v>5285.62</v>
      </c>
      <c r="F1656" s="3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s="7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 s="5">
        <v>43</v>
      </c>
      <c r="C1657">
        <v>100</v>
      </c>
      <c r="D1657">
        <v>10</v>
      </c>
      <c r="E1657" s="5">
        <v>5605.05</v>
      </c>
      <c r="F1657" s="3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 s="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 s="5">
        <v>25</v>
      </c>
      <c r="C1658">
        <v>100</v>
      </c>
      <c r="D1658">
        <v>6</v>
      </c>
      <c r="E1658" s="5">
        <v>2779.5</v>
      </c>
      <c r="F1658" s="3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 s="7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 s="5">
        <v>48</v>
      </c>
      <c r="C1659">
        <v>100</v>
      </c>
      <c r="D1659">
        <v>1</v>
      </c>
      <c r="E1659" s="5">
        <v>5398.08</v>
      </c>
      <c r="F1659" s="3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s="7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 s="5">
        <v>24</v>
      </c>
      <c r="C1660">
        <v>100</v>
      </c>
      <c r="D1660">
        <v>10</v>
      </c>
      <c r="E1660" s="5">
        <v>3189.6</v>
      </c>
      <c r="F1660" s="3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 s="7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 s="5">
        <v>42</v>
      </c>
      <c r="C1661">
        <v>100</v>
      </c>
      <c r="D1661">
        <v>4</v>
      </c>
      <c r="E1661" s="5">
        <v>5581.8</v>
      </c>
      <c r="F1661" s="3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s="7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 s="5">
        <v>31</v>
      </c>
      <c r="C1662">
        <v>100</v>
      </c>
      <c r="D1662">
        <v>2</v>
      </c>
      <c r="E1662" s="5">
        <v>3820.44</v>
      </c>
      <c r="F1662" s="3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 s="7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 s="5">
        <v>42</v>
      </c>
      <c r="C1663">
        <v>100</v>
      </c>
      <c r="D1663">
        <v>5</v>
      </c>
      <c r="E1663" s="5">
        <v>5528.04</v>
      </c>
      <c r="F1663" s="3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s="7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 s="5">
        <v>37</v>
      </c>
      <c r="C1664">
        <v>100</v>
      </c>
      <c r="D1664">
        <v>1</v>
      </c>
      <c r="E1664" s="5">
        <v>5981.42</v>
      </c>
      <c r="F1664" s="3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s="7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 s="5">
        <v>41</v>
      </c>
      <c r="C1665">
        <v>100</v>
      </c>
      <c r="D1665">
        <v>7</v>
      </c>
      <c r="E1665" s="5">
        <v>5684.65</v>
      </c>
      <c r="F1665" s="3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s="7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 s="5">
        <v>20</v>
      </c>
      <c r="C1666">
        <v>100</v>
      </c>
      <c r="D1666">
        <v>5</v>
      </c>
      <c r="E1666" s="5">
        <v>3449.4</v>
      </c>
      <c r="F1666" s="3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 s="7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 s="5">
        <v>20</v>
      </c>
      <c r="C1667">
        <v>100</v>
      </c>
      <c r="D1667">
        <v>3</v>
      </c>
      <c r="E1667" s="5">
        <v>2654.4</v>
      </c>
      <c r="F1667" s="3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 s="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 s="5">
        <v>70</v>
      </c>
      <c r="C1668">
        <v>100</v>
      </c>
      <c r="D1668">
        <v>10</v>
      </c>
      <c r="E1668" s="5">
        <v>8498</v>
      </c>
      <c r="F1668" s="3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s="7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 s="5">
        <v>49</v>
      </c>
      <c r="C1669">
        <v>100</v>
      </c>
      <c r="D1669">
        <v>9</v>
      </c>
      <c r="E1669" s="5">
        <v>5510.54</v>
      </c>
      <c r="F1669" s="3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s="7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 s="5">
        <v>35</v>
      </c>
      <c r="C1670">
        <v>58.87</v>
      </c>
      <c r="D1670">
        <v>15</v>
      </c>
      <c r="E1670" s="5">
        <v>2060.4499999999998</v>
      </c>
      <c r="F1670" s="3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s="7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 s="5">
        <v>32</v>
      </c>
      <c r="C1671">
        <v>76.88</v>
      </c>
      <c r="D1671">
        <v>2</v>
      </c>
      <c r="E1671" s="5">
        <v>2460.16</v>
      </c>
      <c r="F1671" s="3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s="7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 s="5">
        <v>29</v>
      </c>
      <c r="C1672">
        <v>61.64</v>
      </c>
      <c r="D1672">
        <v>16</v>
      </c>
      <c r="E1672" s="5">
        <v>1787.56</v>
      </c>
      <c r="F1672" s="3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 s="7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 s="5">
        <v>27</v>
      </c>
      <c r="C1673">
        <v>60.95</v>
      </c>
      <c r="D1673">
        <v>3</v>
      </c>
      <c r="E1673" s="5">
        <v>1645.65</v>
      </c>
      <c r="F1673" s="3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 s="7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 s="5">
        <v>27</v>
      </c>
      <c r="C1674">
        <v>80.34</v>
      </c>
      <c r="D1674">
        <v>11</v>
      </c>
      <c r="E1674" s="5">
        <v>2169.1799999999998</v>
      </c>
      <c r="F1674" s="3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 s="7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 s="5">
        <v>38</v>
      </c>
      <c r="C1675">
        <v>74.11</v>
      </c>
      <c r="D1675">
        <v>11</v>
      </c>
      <c r="E1675" s="5">
        <v>2816.18</v>
      </c>
      <c r="F1675" s="3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s="7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 s="5">
        <v>35</v>
      </c>
      <c r="C1676">
        <v>72.03</v>
      </c>
      <c r="D1676">
        <v>6</v>
      </c>
      <c r="E1676" s="5">
        <v>2521.0500000000002</v>
      </c>
      <c r="F1676" s="3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s="7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 s="5">
        <v>42</v>
      </c>
      <c r="C1677">
        <v>76.19</v>
      </c>
      <c r="D1677">
        <v>3</v>
      </c>
      <c r="E1677" s="5">
        <v>3199.98</v>
      </c>
      <c r="F1677" s="3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s="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 s="5">
        <v>21</v>
      </c>
      <c r="C1678">
        <v>63.72</v>
      </c>
      <c r="D1678">
        <v>11</v>
      </c>
      <c r="E1678" s="5">
        <v>1338.12</v>
      </c>
      <c r="F1678" s="3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s="7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 s="5">
        <v>37</v>
      </c>
      <c r="C1679">
        <v>80.34</v>
      </c>
      <c r="D1679">
        <v>4</v>
      </c>
      <c r="E1679" s="5">
        <v>2972.58</v>
      </c>
      <c r="F1679" s="3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s="7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 s="5">
        <v>26</v>
      </c>
      <c r="C1680">
        <v>79.650000000000006</v>
      </c>
      <c r="D1680">
        <v>4</v>
      </c>
      <c r="E1680" s="5">
        <v>2070.9</v>
      </c>
      <c r="F1680" s="3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 s="7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 s="5">
        <v>47</v>
      </c>
      <c r="C1681">
        <v>65.8</v>
      </c>
      <c r="D1681">
        <v>8</v>
      </c>
      <c r="E1681" s="5">
        <v>3092.6</v>
      </c>
      <c r="F1681" s="3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s="7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 s="5">
        <v>37</v>
      </c>
      <c r="C1682">
        <v>65.099999999999994</v>
      </c>
      <c r="D1682">
        <v>6</v>
      </c>
      <c r="E1682" s="5">
        <v>2408.6999999999998</v>
      </c>
      <c r="F1682" s="3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 s="7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 s="5">
        <v>46</v>
      </c>
      <c r="C1683">
        <v>75.489999999999995</v>
      </c>
      <c r="D1683">
        <v>12</v>
      </c>
      <c r="E1683" s="5">
        <v>3472.54</v>
      </c>
      <c r="F1683" s="3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 s="7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 s="5">
        <v>38</v>
      </c>
      <c r="C1684">
        <v>59.56</v>
      </c>
      <c r="D1684">
        <v>3</v>
      </c>
      <c r="E1684" s="5">
        <v>2263.2800000000002</v>
      </c>
      <c r="F1684" s="3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 s="7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 s="5">
        <v>33</v>
      </c>
      <c r="C1685">
        <v>66.489999999999995</v>
      </c>
      <c r="D1685">
        <v>6</v>
      </c>
      <c r="E1685" s="5">
        <v>2194.17</v>
      </c>
      <c r="F1685" s="3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s="7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 s="5">
        <v>24</v>
      </c>
      <c r="C1686">
        <v>56.1</v>
      </c>
      <c r="D1686">
        <v>2</v>
      </c>
      <c r="E1686" s="5">
        <v>1346.4</v>
      </c>
      <c r="F1686" s="3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s="7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 s="5">
        <v>31</v>
      </c>
      <c r="C1687">
        <v>81.73</v>
      </c>
      <c r="D1687">
        <v>7</v>
      </c>
      <c r="E1687" s="5">
        <v>2533.63</v>
      </c>
      <c r="F1687" s="3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 s="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 s="5">
        <v>42</v>
      </c>
      <c r="C1688">
        <v>81.03</v>
      </c>
      <c r="D1688">
        <v>1</v>
      </c>
      <c r="E1688" s="5">
        <v>3403.26</v>
      </c>
      <c r="F1688" s="3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s="7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 s="5">
        <v>32</v>
      </c>
      <c r="C1689">
        <v>100</v>
      </c>
      <c r="D1689">
        <v>6</v>
      </c>
      <c r="E1689" s="5">
        <v>3307.2</v>
      </c>
      <c r="F1689" s="3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s="7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 s="5">
        <v>41</v>
      </c>
      <c r="C1690">
        <v>70.650000000000006</v>
      </c>
      <c r="D1690">
        <v>3</v>
      </c>
      <c r="E1690" s="5">
        <v>2896.65</v>
      </c>
      <c r="F1690" s="3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s="7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 s="5">
        <v>43</v>
      </c>
      <c r="C1691">
        <v>61.23</v>
      </c>
      <c r="D1691">
        <v>14</v>
      </c>
      <c r="E1691" s="5">
        <v>2632.89</v>
      </c>
      <c r="F1691" s="3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s="7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 s="5">
        <v>20</v>
      </c>
      <c r="C1692">
        <v>100</v>
      </c>
      <c r="D1692">
        <v>14</v>
      </c>
      <c r="E1692" s="5">
        <v>2046</v>
      </c>
      <c r="F1692" s="3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s="7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 s="5">
        <v>35</v>
      </c>
      <c r="C1693">
        <v>65.13</v>
      </c>
      <c r="D1693">
        <v>4</v>
      </c>
      <c r="E1693" s="5">
        <v>2279.5500000000002</v>
      </c>
      <c r="F1693" s="3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 s="7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 s="5">
        <v>27</v>
      </c>
      <c r="C1694">
        <v>79.650000000000006</v>
      </c>
      <c r="D1694">
        <v>4</v>
      </c>
      <c r="E1694" s="5">
        <v>2150.5500000000002</v>
      </c>
      <c r="F1694" s="3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s="7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 s="5">
        <v>43</v>
      </c>
      <c r="C1695">
        <v>78.150000000000006</v>
      </c>
      <c r="D1695">
        <v>11</v>
      </c>
      <c r="E1695" s="5">
        <v>3360.45</v>
      </c>
      <c r="F1695" s="3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s="7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 s="5">
        <v>32</v>
      </c>
      <c r="C1696">
        <v>72.7</v>
      </c>
      <c r="D1696">
        <v>10</v>
      </c>
      <c r="E1696" s="5">
        <v>2326.4</v>
      </c>
      <c r="F1696" s="3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 s="7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 s="5">
        <v>21</v>
      </c>
      <c r="C1697">
        <v>73.599999999999994</v>
      </c>
      <c r="D1697">
        <v>4</v>
      </c>
      <c r="E1697" s="5">
        <v>1545.6</v>
      </c>
      <c r="F1697" s="3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s="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 s="5">
        <v>20</v>
      </c>
      <c r="C1698">
        <v>100</v>
      </c>
      <c r="D1698">
        <v>3</v>
      </c>
      <c r="E1698" s="5">
        <v>2144.6</v>
      </c>
      <c r="F1698" s="3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s="7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 s="5">
        <v>22</v>
      </c>
      <c r="C1699">
        <v>74.510000000000005</v>
      </c>
      <c r="D1699">
        <v>1</v>
      </c>
      <c r="E1699" s="5">
        <v>1639.22</v>
      </c>
      <c r="F1699" s="3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 s="7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 s="5">
        <v>36</v>
      </c>
      <c r="C1700">
        <v>73.599999999999994</v>
      </c>
      <c r="D1700">
        <v>14</v>
      </c>
      <c r="E1700" s="5">
        <v>2649.6</v>
      </c>
      <c r="F1700" s="3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 s="7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 s="5">
        <v>46</v>
      </c>
      <c r="C1701">
        <v>83.6</v>
      </c>
      <c r="D1701">
        <v>2</v>
      </c>
      <c r="E1701" s="5">
        <v>3845.6</v>
      </c>
      <c r="F1701" s="3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 s="7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 s="5">
        <v>47</v>
      </c>
      <c r="C1702">
        <v>96.32</v>
      </c>
      <c r="D1702">
        <v>8</v>
      </c>
      <c r="E1702" s="5">
        <v>4527.04</v>
      </c>
      <c r="F1702" s="3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 s="7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 s="5">
        <v>45</v>
      </c>
      <c r="C1703">
        <v>88.14</v>
      </c>
      <c r="D1703">
        <v>1</v>
      </c>
      <c r="E1703" s="5">
        <v>3966.3</v>
      </c>
      <c r="F1703" s="3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s="7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 s="5">
        <v>47</v>
      </c>
      <c r="C1704">
        <v>88.14</v>
      </c>
      <c r="D1704">
        <v>14</v>
      </c>
      <c r="E1704" s="5">
        <v>4142.58</v>
      </c>
      <c r="F1704" s="3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s="7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 s="5">
        <v>47</v>
      </c>
      <c r="C1705">
        <v>94.5</v>
      </c>
      <c r="D1705">
        <v>6</v>
      </c>
      <c r="E1705" s="5">
        <v>4441.5</v>
      </c>
      <c r="F1705" s="3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s="7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 s="5">
        <v>38</v>
      </c>
      <c r="C1706">
        <v>87.24</v>
      </c>
      <c r="D1706">
        <v>3</v>
      </c>
      <c r="E1706" s="5">
        <v>3315.12</v>
      </c>
      <c r="F1706" s="3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 s="7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 s="5">
        <v>49</v>
      </c>
      <c r="C1707">
        <v>79.97</v>
      </c>
      <c r="D1707">
        <v>3</v>
      </c>
      <c r="E1707" s="5">
        <v>3918.53</v>
      </c>
      <c r="F1707" s="3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s="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 s="5">
        <v>35</v>
      </c>
      <c r="C1708">
        <v>80.87</v>
      </c>
      <c r="D1708">
        <v>9</v>
      </c>
      <c r="E1708" s="5">
        <v>2830.45</v>
      </c>
      <c r="F1708" s="3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s="7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 s="5">
        <v>49</v>
      </c>
      <c r="C1709">
        <v>100</v>
      </c>
      <c r="D1709">
        <v>5</v>
      </c>
      <c r="E1709" s="5">
        <v>5298.86</v>
      </c>
      <c r="F1709" s="3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s="7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 s="5">
        <v>28</v>
      </c>
      <c r="C1710">
        <v>93.6</v>
      </c>
      <c r="D1710">
        <v>4</v>
      </c>
      <c r="E1710" s="5">
        <v>2620.8000000000002</v>
      </c>
      <c r="F1710" s="3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s="7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 s="5">
        <v>30</v>
      </c>
      <c r="C1711">
        <v>72.7</v>
      </c>
      <c r="D1711">
        <v>1</v>
      </c>
      <c r="E1711" s="5">
        <v>2181</v>
      </c>
      <c r="F1711" s="3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 s="7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 s="5">
        <v>39</v>
      </c>
      <c r="C1712">
        <v>86.72</v>
      </c>
      <c r="D1712">
        <v>7</v>
      </c>
      <c r="E1712" s="5">
        <v>3382.08</v>
      </c>
      <c r="F1712" s="3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s="7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 s="5">
        <v>25</v>
      </c>
      <c r="C1713">
        <v>100</v>
      </c>
      <c r="D1713">
        <v>1</v>
      </c>
      <c r="E1713" s="5">
        <v>2876.75</v>
      </c>
      <c r="F1713" s="3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 s="7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 s="5">
        <v>40</v>
      </c>
      <c r="C1714">
        <v>100</v>
      </c>
      <c r="D1714">
        <v>2</v>
      </c>
      <c r="E1714" s="5">
        <v>4107.2</v>
      </c>
      <c r="F1714" s="3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 s="7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 s="5">
        <v>36</v>
      </c>
      <c r="C1715">
        <v>37.5</v>
      </c>
      <c r="D1715">
        <v>6</v>
      </c>
      <c r="E1715" s="5">
        <v>1350</v>
      </c>
      <c r="F1715" s="3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s="7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 s="5">
        <v>76</v>
      </c>
      <c r="C1716">
        <v>94.5</v>
      </c>
      <c r="D1716">
        <v>6</v>
      </c>
      <c r="E1716" s="5">
        <v>7182</v>
      </c>
      <c r="F1716" s="3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 s="7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 s="5">
        <v>39</v>
      </c>
      <c r="C1717">
        <v>100</v>
      </c>
      <c r="D1717">
        <v>9</v>
      </c>
      <c r="E1717" s="5">
        <v>3933.93</v>
      </c>
      <c r="F1717" s="3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s="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 s="5">
        <v>44</v>
      </c>
      <c r="C1718">
        <v>39.6</v>
      </c>
      <c r="D1718">
        <v>10</v>
      </c>
      <c r="E1718" s="5">
        <v>1742.4</v>
      </c>
      <c r="F1718" s="3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s="7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 s="5">
        <v>24</v>
      </c>
      <c r="C1719">
        <v>30.06</v>
      </c>
      <c r="D1719">
        <v>1</v>
      </c>
      <c r="E1719" s="5">
        <v>721.44</v>
      </c>
      <c r="F1719" s="3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s="7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 s="5">
        <v>39</v>
      </c>
      <c r="C1720">
        <v>38.19</v>
      </c>
      <c r="D1720">
        <v>12</v>
      </c>
      <c r="E1720" s="5">
        <v>1489.41</v>
      </c>
      <c r="F1720" s="3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 s="7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 s="5">
        <v>21</v>
      </c>
      <c r="C1721">
        <v>42.43</v>
      </c>
      <c r="D1721">
        <v>6</v>
      </c>
      <c r="E1721" s="5">
        <v>891.03</v>
      </c>
      <c r="F1721" s="3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s="7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 s="5">
        <v>30</v>
      </c>
      <c r="C1722">
        <v>40.31</v>
      </c>
      <c r="D1722">
        <v>4</v>
      </c>
      <c r="E1722" s="5">
        <v>1209.3</v>
      </c>
      <c r="F1722" s="3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s="7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 s="5">
        <v>27</v>
      </c>
      <c r="C1723">
        <v>31.82</v>
      </c>
      <c r="D1723">
        <v>13</v>
      </c>
      <c r="E1723" s="5">
        <v>859.14</v>
      </c>
      <c r="F1723" s="3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s="7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 s="5">
        <v>37</v>
      </c>
      <c r="C1724">
        <v>31.12</v>
      </c>
      <c r="D1724">
        <v>2</v>
      </c>
      <c r="E1724" s="5">
        <v>1151.44</v>
      </c>
      <c r="F1724" s="3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s="7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 s="5">
        <v>42</v>
      </c>
      <c r="C1725">
        <v>31.82</v>
      </c>
      <c r="D1725">
        <v>7</v>
      </c>
      <c r="E1725" s="5">
        <v>1336.44</v>
      </c>
      <c r="F1725" s="3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s="7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 s="5">
        <v>32</v>
      </c>
      <c r="C1726">
        <v>28.29</v>
      </c>
      <c r="D1726">
        <v>7</v>
      </c>
      <c r="E1726" s="5">
        <v>905.28</v>
      </c>
      <c r="F1726" s="3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 s="7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 s="5">
        <v>42</v>
      </c>
      <c r="C1727">
        <v>29.7</v>
      </c>
      <c r="D1727">
        <v>8</v>
      </c>
      <c r="E1727" s="5">
        <v>1247.4000000000001</v>
      </c>
      <c r="F1727" s="3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 s="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 s="5">
        <v>21</v>
      </c>
      <c r="C1728">
        <v>40.31</v>
      </c>
      <c r="D1728">
        <v>3</v>
      </c>
      <c r="E1728" s="5">
        <v>846.51</v>
      </c>
      <c r="F1728" s="3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 s="7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 s="5">
        <v>33</v>
      </c>
      <c r="C1729">
        <v>32.880000000000003</v>
      </c>
      <c r="D1729">
        <v>2</v>
      </c>
      <c r="E1729" s="5">
        <v>1085.04</v>
      </c>
      <c r="F1729" s="3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 s="7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 s="5">
        <v>49</v>
      </c>
      <c r="C1730">
        <v>36.07</v>
      </c>
      <c r="D1730">
        <v>6</v>
      </c>
      <c r="E1730" s="5">
        <v>1767.43</v>
      </c>
      <c r="F1730" s="3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s="7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 s="5">
        <v>31</v>
      </c>
      <c r="C1731">
        <v>33.24</v>
      </c>
      <c r="D1731">
        <v>5</v>
      </c>
      <c r="E1731" s="5">
        <v>1030.44</v>
      </c>
      <c r="F1731" s="3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s="7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 s="5">
        <v>38</v>
      </c>
      <c r="C1732">
        <v>41.72</v>
      </c>
      <c r="D1732">
        <v>6</v>
      </c>
      <c r="E1732" s="5">
        <v>1585.36</v>
      </c>
      <c r="F1732" s="3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 s="7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 s="5">
        <v>20</v>
      </c>
      <c r="C1733">
        <v>40.659999999999997</v>
      </c>
      <c r="D1733">
        <v>2</v>
      </c>
      <c r="E1733" s="5">
        <v>813.2</v>
      </c>
      <c r="F1733" s="3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 s="7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 s="5">
        <v>39</v>
      </c>
      <c r="C1734">
        <v>30.06</v>
      </c>
      <c r="D1734">
        <v>9</v>
      </c>
      <c r="E1734" s="5">
        <v>1172.3399999999999</v>
      </c>
      <c r="F1734" s="3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 s="7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 s="5">
        <v>48</v>
      </c>
      <c r="C1735">
        <v>31.47</v>
      </c>
      <c r="D1735">
        <v>6</v>
      </c>
      <c r="E1735" s="5">
        <v>1510.56</v>
      </c>
      <c r="F1735" s="3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 s="7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 s="5">
        <v>39</v>
      </c>
      <c r="C1736">
        <v>37.130000000000003</v>
      </c>
      <c r="D1736">
        <v>15</v>
      </c>
      <c r="E1736" s="5">
        <v>1448.07</v>
      </c>
      <c r="F1736" s="3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s="7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 s="5">
        <v>30</v>
      </c>
      <c r="C1737">
        <v>100</v>
      </c>
      <c r="D1737">
        <v>9</v>
      </c>
      <c r="E1737" s="5">
        <v>3338.1</v>
      </c>
      <c r="F1737" s="3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 s="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 s="5">
        <v>33</v>
      </c>
      <c r="C1738">
        <v>37.130000000000003</v>
      </c>
      <c r="D1738">
        <v>2</v>
      </c>
      <c r="E1738" s="5">
        <v>1225.29</v>
      </c>
      <c r="F1738" s="3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 s="7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 s="5">
        <v>36</v>
      </c>
      <c r="C1739">
        <v>37.130000000000003</v>
      </c>
      <c r="D1739">
        <v>3</v>
      </c>
      <c r="E1739" s="5">
        <v>1336.68</v>
      </c>
      <c r="F1739" s="3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 s="7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 s="5">
        <v>36</v>
      </c>
      <c r="C1740">
        <v>82.94</v>
      </c>
      <c r="D1740">
        <v>4</v>
      </c>
      <c r="E1740" s="5">
        <v>2985.84</v>
      </c>
      <c r="F1740" s="3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s="7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 s="5">
        <v>45</v>
      </c>
      <c r="C1741">
        <v>100</v>
      </c>
      <c r="D1741">
        <v>8</v>
      </c>
      <c r="E1741" s="5">
        <v>5545.8</v>
      </c>
      <c r="F1741" s="3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 s="7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 s="5">
        <v>40</v>
      </c>
      <c r="C1742">
        <v>100</v>
      </c>
      <c r="D1742">
        <v>3</v>
      </c>
      <c r="E1742" s="5">
        <v>6089.6</v>
      </c>
      <c r="F1742" s="3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s="7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 s="5">
        <v>46</v>
      </c>
      <c r="C1743">
        <v>38.9</v>
      </c>
      <c r="D1743">
        <v>6</v>
      </c>
      <c r="E1743" s="5">
        <v>1789.4</v>
      </c>
      <c r="F1743" s="3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s="7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 s="5">
        <v>30</v>
      </c>
      <c r="C1744">
        <v>36.07</v>
      </c>
      <c r="D1744">
        <v>6</v>
      </c>
      <c r="E1744" s="5">
        <v>1082.0999999999999</v>
      </c>
      <c r="F1744" s="3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s="7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 s="5">
        <v>31</v>
      </c>
      <c r="C1745">
        <v>33.24</v>
      </c>
      <c r="D1745">
        <v>5</v>
      </c>
      <c r="E1745" s="5">
        <v>1030.44</v>
      </c>
      <c r="F1745" s="3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s="7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 s="5">
        <v>49</v>
      </c>
      <c r="C1746">
        <v>74.680000000000007</v>
      </c>
      <c r="D1746">
        <v>13</v>
      </c>
      <c r="E1746" s="5">
        <v>3659.32</v>
      </c>
      <c r="F1746" s="3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s="7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 s="5">
        <v>41</v>
      </c>
      <c r="C1747">
        <v>59.6</v>
      </c>
      <c r="D1747">
        <v>4</v>
      </c>
      <c r="E1747" s="5">
        <v>2443.6</v>
      </c>
      <c r="F1747" s="3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s="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 s="5">
        <v>35</v>
      </c>
      <c r="C1748">
        <v>67.14</v>
      </c>
      <c r="D1748">
        <v>5</v>
      </c>
      <c r="E1748" s="5">
        <v>2349.9</v>
      </c>
      <c r="F1748" s="3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 s="7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 s="5">
        <v>27</v>
      </c>
      <c r="C1749">
        <v>60.97</v>
      </c>
      <c r="D1749">
        <v>8</v>
      </c>
      <c r="E1749" s="5">
        <v>1646.19</v>
      </c>
      <c r="F1749" s="3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 s="7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 s="5">
        <v>23</v>
      </c>
      <c r="C1750">
        <v>72.62</v>
      </c>
      <c r="D1750">
        <v>6</v>
      </c>
      <c r="E1750" s="5">
        <v>1670.26</v>
      </c>
      <c r="F1750" s="3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s="7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 s="5">
        <v>21</v>
      </c>
      <c r="C1751">
        <v>69.88</v>
      </c>
      <c r="D1751">
        <v>2</v>
      </c>
      <c r="E1751" s="5">
        <v>1467.48</v>
      </c>
      <c r="F1751" s="3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s="7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 s="5">
        <v>34</v>
      </c>
      <c r="C1752">
        <v>80.84</v>
      </c>
      <c r="D1752">
        <v>5</v>
      </c>
      <c r="E1752" s="5">
        <v>2748.56</v>
      </c>
      <c r="F1752" s="3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s="7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 s="5">
        <v>22</v>
      </c>
      <c r="C1753">
        <v>69.2</v>
      </c>
      <c r="D1753">
        <v>2</v>
      </c>
      <c r="E1753" s="5">
        <v>1522.4</v>
      </c>
      <c r="F1753" s="3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s="7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 s="5">
        <v>48</v>
      </c>
      <c r="C1754">
        <v>67.819999999999993</v>
      </c>
      <c r="D1754">
        <v>5</v>
      </c>
      <c r="E1754" s="5">
        <v>3255.36</v>
      </c>
      <c r="F1754" s="3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s="7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 s="5">
        <v>43</v>
      </c>
      <c r="C1755">
        <v>82.21</v>
      </c>
      <c r="D1755">
        <v>1</v>
      </c>
      <c r="E1755" s="5">
        <v>3535.03</v>
      </c>
      <c r="F1755" s="3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 s="7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 s="5">
        <v>32</v>
      </c>
      <c r="C1756">
        <v>81.53</v>
      </c>
      <c r="D1756">
        <v>5</v>
      </c>
      <c r="E1756" s="5">
        <v>2608.96</v>
      </c>
      <c r="F1756" s="3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 s="7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 s="5">
        <v>20</v>
      </c>
      <c r="C1757">
        <v>67.819999999999993</v>
      </c>
      <c r="D1757">
        <v>1</v>
      </c>
      <c r="E1757" s="5">
        <v>1356.4</v>
      </c>
      <c r="F1757" s="3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 s="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 s="5">
        <v>24</v>
      </c>
      <c r="C1758">
        <v>67.14</v>
      </c>
      <c r="D1758">
        <v>10</v>
      </c>
      <c r="E1758" s="5">
        <v>1611.36</v>
      </c>
      <c r="F1758" s="3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s="7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 s="5">
        <v>40</v>
      </c>
      <c r="C1759">
        <v>65.08</v>
      </c>
      <c r="D1759">
        <v>2</v>
      </c>
      <c r="E1759" s="5">
        <v>2603.1999999999998</v>
      </c>
      <c r="F1759" s="3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 s="7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 s="5">
        <v>30</v>
      </c>
      <c r="C1760">
        <v>73.989999999999995</v>
      </c>
      <c r="D1760">
        <v>12</v>
      </c>
      <c r="E1760" s="5">
        <v>2219.6999999999998</v>
      </c>
      <c r="F1760" s="3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s="7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 s="5">
        <v>21</v>
      </c>
      <c r="C1761">
        <v>71.25</v>
      </c>
      <c r="D1761">
        <v>8</v>
      </c>
      <c r="E1761" s="5">
        <v>1496.25</v>
      </c>
      <c r="F1761" s="3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s="7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 s="5">
        <v>25</v>
      </c>
      <c r="C1762">
        <v>75.36</v>
      </c>
      <c r="D1762">
        <v>2</v>
      </c>
      <c r="E1762" s="5">
        <v>1884</v>
      </c>
      <c r="F1762" s="3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 s="7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 s="5">
        <v>34</v>
      </c>
      <c r="C1763">
        <v>63.71</v>
      </c>
      <c r="D1763">
        <v>10</v>
      </c>
      <c r="E1763" s="5">
        <v>2166.14</v>
      </c>
      <c r="F1763" s="3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s="7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 s="5">
        <v>48</v>
      </c>
      <c r="C1764">
        <v>58.92</v>
      </c>
      <c r="D1764">
        <v>1</v>
      </c>
      <c r="E1764" s="5">
        <v>2828.16</v>
      </c>
      <c r="F1764" s="3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s="7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 s="5">
        <v>55</v>
      </c>
      <c r="C1765">
        <v>100</v>
      </c>
      <c r="D1765">
        <v>12</v>
      </c>
      <c r="E1765" s="5">
        <v>6214.45</v>
      </c>
      <c r="F1765" s="3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s="7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 s="5">
        <v>25</v>
      </c>
      <c r="C1766">
        <v>74.680000000000007</v>
      </c>
      <c r="D1766">
        <v>5</v>
      </c>
      <c r="E1766" s="5">
        <v>1867</v>
      </c>
      <c r="F1766" s="3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s="7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 s="5">
        <v>38</v>
      </c>
      <c r="C1767">
        <v>70.44</v>
      </c>
      <c r="D1767">
        <v>7</v>
      </c>
      <c r="E1767" s="5">
        <v>2676.72</v>
      </c>
      <c r="F1767" s="3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s="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 s="5">
        <v>39</v>
      </c>
      <c r="C1768">
        <v>55.96</v>
      </c>
      <c r="D1768">
        <v>1</v>
      </c>
      <c r="E1768" s="5">
        <v>2182.44</v>
      </c>
      <c r="F1768" s="3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s="7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 s="5">
        <v>28</v>
      </c>
      <c r="C1769">
        <v>57.55</v>
      </c>
      <c r="D1769">
        <v>3</v>
      </c>
      <c r="E1769" s="5">
        <v>1611.4</v>
      </c>
      <c r="F1769" s="3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s="7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 s="5">
        <v>24</v>
      </c>
      <c r="C1770">
        <v>61.66</v>
      </c>
      <c r="D1770">
        <v>2</v>
      </c>
      <c r="E1770" s="5">
        <v>1479.84</v>
      </c>
      <c r="F1770" s="3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 s="7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 s="5">
        <v>21</v>
      </c>
      <c r="C1771">
        <v>67.819999999999993</v>
      </c>
      <c r="D1771">
        <v>1</v>
      </c>
      <c r="E1771" s="5">
        <v>1424.22</v>
      </c>
      <c r="F1771" s="3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s="7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 s="5">
        <v>46</v>
      </c>
      <c r="C1772">
        <v>100</v>
      </c>
      <c r="D1772">
        <v>10</v>
      </c>
      <c r="E1772" s="5">
        <v>5942.28</v>
      </c>
      <c r="F1772" s="3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s="7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 s="5">
        <v>25</v>
      </c>
      <c r="C1773">
        <v>93.95</v>
      </c>
      <c r="D1773">
        <v>9</v>
      </c>
      <c r="E1773" s="5">
        <v>2348.75</v>
      </c>
      <c r="F1773" s="3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 s="7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 s="5">
        <v>34</v>
      </c>
      <c r="C1774">
        <v>100</v>
      </c>
      <c r="D1774">
        <v>3</v>
      </c>
      <c r="E1774" s="5">
        <v>4392.12</v>
      </c>
      <c r="F1774" s="3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s="7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 s="5">
        <v>25</v>
      </c>
      <c r="C1775">
        <v>100</v>
      </c>
      <c r="D1775">
        <v>2</v>
      </c>
      <c r="E1775" s="5">
        <v>2759.75</v>
      </c>
      <c r="F1775" s="3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s="7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 s="5">
        <v>23</v>
      </c>
      <c r="C1776">
        <v>100</v>
      </c>
      <c r="D1776">
        <v>16</v>
      </c>
      <c r="E1776" s="5">
        <v>2728.03</v>
      </c>
      <c r="F1776" s="3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s="7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 s="5">
        <v>20</v>
      </c>
      <c r="C1777">
        <v>100</v>
      </c>
      <c r="D1777">
        <v>13</v>
      </c>
      <c r="E1777" s="5">
        <v>2395.8000000000002</v>
      </c>
      <c r="F1777" s="3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 s="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 s="5">
        <v>23</v>
      </c>
      <c r="C1778">
        <v>100</v>
      </c>
      <c r="D1778">
        <v>1</v>
      </c>
      <c r="E1778" s="5">
        <v>3052.33</v>
      </c>
      <c r="F1778" s="3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 s="7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 s="5">
        <v>42</v>
      </c>
      <c r="C1779">
        <v>100</v>
      </c>
      <c r="D1779">
        <v>7</v>
      </c>
      <c r="E1779" s="5">
        <v>4242</v>
      </c>
      <c r="F1779" s="3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 s="7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 s="5">
        <v>27</v>
      </c>
      <c r="C1780">
        <v>100</v>
      </c>
      <c r="D1780">
        <v>3</v>
      </c>
      <c r="E1780" s="5">
        <v>2790.45</v>
      </c>
      <c r="F1780" s="3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s="7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 s="5">
        <v>33</v>
      </c>
      <c r="C1781">
        <v>100</v>
      </c>
      <c r="D1781">
        <v>13</v>
      </c>
      <c r="E1781" s="5">
        <v>4340.49</v>
      </c>
      <c r="F1781" s="3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s="7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 s="5">
        <v>28</v>
      </c>
      <c r="C1782">
        <v>98.65</v>
      </c>
      <c r="D1782">
        <v>5</v>
      </c>
      <c r="E1782" s="5">
        <v>2762.2</v>
      </c>
      <c r="F1782" s="3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s="7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 s="5">
        <v>43</v>
      </c>
      <c r="C1783">
        <v>100</v>
      </c>
      <c r="D1783">
        <v>2</v>
      </c>
      <c r="E1783" s="5">
        <v>4645.72</v>
      </c>
      <c r="F1783" s="3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 s="7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 s="5">
        <v>48</v>
      </c>
      <c r="C1784">
        <v>100</v>
      </c>
      <c r="D1784">
        <v>2</v>
      </c>
      <c r="E1784" s="5">
        <v>5580.96</v>
      </c>
      <c r="F1784" s="3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s="7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 s="5">
        <v>48</v>
      </c>
      <c r="C1785">
        <v>100</v>
      </c>
      <c r="D1785">
        <v>8</v>
      </c>
      <c r="E1785" s="5">
        <v>6539.04</v>
      </c>
      <c r="F1785" s="3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s="7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 s="5">
        <v>45</v>
      </c>
      <c r="C1786">
        <v>100</v>
      </c>
      <c r="D1786">
        <v>4</v>
      </c>
      <c r="E1786" s="5">
        <v>5548.95</v>
      </c>
      <c r="F1786" s="3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s="7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 s="5">
        <v>43</v>
      </c>
      <c r="C1787">
        <v>100</v>
      </c>
      <c r="D1787">
        <v>3</v>
      </c>
      <c r="E1787" s="5">
        <v>4595.41</v>
      </c>
      <c r="F1787" s="3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s="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 s="5">
        <v>44</v>
      </c>
      <c r="C1788">
        <v>42.26</v>
      </c>
      <c r="D1788">
        <v>11</v>
      </c>
      <c r="E1788" s="5">
        <v>1859.44</v>
      </c>
      <c r="F1788" s="3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s="7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 s="5">
        <v>24</v>
      </c>
      <c r="C1789">
        <v>87.24</v>
      </c>
      <c r="D1789">
        <v>5</v>
      </c>
      <c r="E1789" s="5">
        <v>2093.7600000000002</v>
      </c>
      <c r="F1789" s="3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 s="7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 s="5">
        <v>31</v>
      </c>
      <c r="C1790">
        <v>100</v>
      </c>
      <c r="D1790">
        <v>5</v>
      </c>
      <c r="E1790" s="5">
        <v>4223.13</v>
      </c>
      <c r="F1790" s="3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 s="7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 s="5">
        <v>44</v>
      </c>
      <c r="C1791">
        <v>36.29</v>
      </c>
      <c r="D1791">
        <v>7</v>
      </c>
      <c r="E1791" s="5">
        <v>1596.76</v>
      </c>
      <c r="F1791" s="3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s="7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 s="5">
        <v>59</v>
      </c>
      <c r="C1792">
        <v>98.65</v>
      </c>
      <c r="D1792">
        <v>5</v>
      </c>
      <c r="E1792" s="5">
        <v>5820.35</v>
      </c>
      <c r="F1792" s="3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 s="7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 s="5">
        <v>55</v>
      </c>
      <c r="C1793">
        <v>96.3</v>
      </c>
      <c r="D1793">
        <v>8</v>
      </c>
      <c r="E1793" s="5">
        <v>5296.5</v>
      </c>
      <c r="F1793" s="3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s="7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 s="5">
        <v>29</v>
      </c>
      <c r="C1794">
        <v>32.1</v>
      </c>
      <c r="D1794">
        <v>6</v>
      </c>
      <c r="E1794" s="5">
        <v>930.9</v>
      </c>
      <c r="F1794" s="3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 s="7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 s="5">
        <v>39</v>
      </c>
      <c r="C1795">
        <v>30.96</v>
      </c>
      <c r="D1795">
        <v>4</v>
      </c>
      <c r="E1795" s="5">
        <v>1207.44</v>
      </c>
      <c r="F1795" s="3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s="7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 s="5">
        <v>20</v>
      </c>
      <c r="C1796">
        <v>35.869999999999997</v>
      </c>
      <c r="D1796">
        <v>1</v>
      </c>
      <c r="E1796" s="5">
        <v>717.4</v>
      </c>
      <c r="F1796" s="3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 s="7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 s="5">
        <v>25</v>
      </c>
      <c r="C1797">
        <v>42.67</v>
      </c>
      <c r="D1797">
        <v>1</v>
      </c>
      <c r="E1797" s="5">
        <v>1066.75</v>
      </c>
      <c r="F1797" s="3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 s="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 s="5">
        <v>42</v>
      </c>
      <c r="C1798">
        <v>37</v>
      </c>
      <c r="D1798">
        <v>2</v>
      </c>
      <c r="E1798" s="5">
        <v>1554</v>
      </c>
      <c r="F1798" s="3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 s="7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 s="5">
        <v>36</v>
      </c>
      <c r="C1799">
        <v>35.49</v>
      </c>
      <c r="D1799">
        <v>4</v>
      </c>
      <c r="E1799" s="5">
        <v>1277.6400000000001</v>
      </c>
      <c r="F1799" s="3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s="7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 s="5">
        <v>37</v>
      </c>
      <c r="C1800">
        <v>42.67</v>
      </c>
      <c r="D1800">
        <v>8</v>
      </c>
      <c r="E1800" s="5">
        <v>1578.79</v>
      </c>
      <c r="F1800" s="3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s="7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 s="5">
        <v>30</v>
      </c>
      <c r="C1801">
        <v>30.59</v>
      </c>
      <c r="D1801">
        <v>13</v>
      </c>
      <c r="E1801" s="5">
        <v>917.7</v>
      </c>
      <c r="F1801" s="3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 s="7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 s="5">
        <v>21</v>
      </c>
      <c r="C1802">
        <v>37</v>
      </c>
      <c r="D1802">
        <v>2</v>
      </c>
      <c r="E1802" s="5">
        <v>777</v>
      </c>
      <c r="F1802" s="3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s="7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 s="5">
        <v>34</v>
      </c>
      <c r="C1803">
        <v>43.42</v>
      </c>
      <c r="D1803">
        <v>12</v>
      </c>
      <c r="E1803" s="5">
        <v>1476.28</v>
      </c>
      <c r="F1803" s="3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s="7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 s="5">
        <v>42</v>
      </c>
      <c r="C1804">
        <v>36.630000000000003</v>
      </c>
      <c r="D1804">
        <v>3</v>
      </c>
      <c r="E1804" s="5">
        <v>1538.46</v>
      </c>
      <c r="F1804" s="3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s="7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 s="5">
        <v>20</v>
      </c>
      <c r="C1805">
        <v>44.56</v>
      </c>
      <c r="D1805">
        <v>2</v>
      </c>
      <c r="E1805" s="5">
        <v>891.2</v>
      </c>
      <c r="F1805" s="3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s="7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 s="5">
        <v>40</v>
      </c>
      <c r="C1806">
        <v>42.67</v>
      </c>
      <c r="D1806">
        <v>7</v>
      </c>
      <c r="E1806" s="5">
        <v>1706.8</v>
      </c>
      <c r="F1806" s="3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s="7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 s="5">
        <v>34</v>
      </c>
      <c r="C1807">
        <v>40.4</v>
      </c>
      <c r="D1807">
        <v>8</v>
      </c>
      <c r="E1807" s="5">
        <v>1373.6</v>
      </c>
      <c r="F1807" s="3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s="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 s="5">
        <v>31</v>
      </c>
      <c r="C1808">
        <v>38.89</v>
      </c>
      <c r="D1808">
        <v>8</v>
      </c>
      <c r="E1808" s="5">
        <v>1205.5899999999999</v>
      </c>
      <c r="F1808" s="3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 s="7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 s="5">
        <v>36</v>
      </c>
      <c r="C1809">
        <v>39.65</v>
      </c>
      <c r="D1809">
        <v>6</v>
      </c>
      <c r="E1809" s="5">
        <v>1427.4</v>
      </c>
      <c r="F1809" s="3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s="7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 s="5">
        <v>48</v>
      </c>
      <c r="C1810">
        <v>34.36</v>
      </c>
      <c r="D1810">
        <v>10</v>
      </c>
      <c r="E1810" s="5">
        <v>1649.28</v>
      </c>
      <c r="F1810" s="3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s="7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 s="5">
        <v>33</v>
      </c>
      <c r="C1811">
        <v>41.91</v>
      </c>
      <c r="D1811">
        <v>4</v>
      </c>
      <c r="E1811" s="5">
        <v>1383.03</v>
      </c>
      <c r="F1811" s="3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s="7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 s="5">
        <v>37</v>
      </c>
      <c r="C1812">
        <v>33.229999999999997</v>
      </c>
      <c r="D1812">
        <v>12</v>
      </c>
      <c r="E1812" s="5">
        <v>1229.51</v>
      </c>
      <c r="F1812" s="3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 s="7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 s="5">
        <v>27</v>
      </c>
      <c r="C1813">
        <v>42.24</v>
      </c>
      <c r="D1813">
        <v>13</v>
      </c>
      <c r="E1813" s="5">
        <v>1140.48</v>
      </c>
      <c r="F1813" s="3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 s="7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 s="5">
        <v>39</v>
      </c>
      <c r="C1814">
        <v>40.4</v>
      </c>
      <c r="D1814">
        <v>9</v>
      </c>
      <c r="E1814" s="5">
        <v>1575.6</v>
      </c>
      <c r="F1814" s="3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s="7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 s="5">
        <v>36</v>
      </c>
      <c r="C1815">
        <v>38.520000000000003</v>
      </c>
      <c r="D1815">
        <v>4</v>
      </c>
      <c r="E1815" s="5">
        <v>1386.72</v>
      </c>
      <c r="F1815" s="3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s="7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 s="5">
        <v>36</v>
      </c>
      <c r="C1816">
        <v>100</v>
      </c>
      <c r="D1816">
        <v>2</v>
      </c>
      <c r="E1816" s="5">
        <v>5018.3999999999996</v>
      </c>
      <c r="F1816" s="3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 s="7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 s="5">
        <v>41</v>
      </c>
      <c r="C1817">
        <v>100</v>
      </c>
      <c r="D1817">
        <v>7</v>
      </c>
      <c r="E1817" s="5">
        <v>5856.85</v>
      </c>
      <c r="F1817" s="3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s="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 s="5">
        <v>37</v>
      </c>
      <c r="C1818">
        <v>100</v>
      </c>
      <c r="D1818">
        <v>5</v>
      </c>
      <c r="E1818" s="5">
        <v>4894.7299999999996</v>
      </c>
      <c r="F1818" s="3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 s="7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 s="5">
        <v>47</v>
      </c>
      <c r="C1819">
        <v>44.56</v>
      </c>
      <c r="D1819">
        <v>2</v>
      </c>
      <c r="E1819" s="5">
        <v>2094.3200000000002</v>
      </c>
      <c r="F1819" s="3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s="7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 s="5">
        <v>15</v>
      </c>
      <c r="C1820">
        <v>42.67</v>
      </c>
      <c r="D1820">
        <v>7</v>
      </c>
      <c r="E1820" s="5">
        <v>640.04999999999995</v>
      </c>
      <c r="F1820" s="3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s="7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 s="5">
        <v>44</v>
      </c>
      <c r="C1821">
        <v>72.58</v>
      </c>
      <c r="D1821">
        <v>4</v>
      </c>
      <c r="E1821" s="5">
        <v>3193.52</v>
      </c>
      <c r="F1821" s="3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s="7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 s="5">
        <v>35</v>
      </c>
      <c r="C1822">
        <v>87.62</v>
      </c>
      <c r="D1822">
        <v>13</v>
      </c>
      <c r="E1822" s="5">
        <v>3066.7</v>
      </c>
      <c r="F1822" s="3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s="7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 s="5">
        <v>41</v>
      </c>
      <c r="C1823">
        <v>94.71</v>
      </c>
      <c r="D1823">
        <v>4</v>
      </c>
      <c r="E1823" s="5">
        <v>3883.11</v>
      </c>
      <c r="F1823" s="3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s="7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 s="5">
        <v>49</v>
      </c>
      <c r="C1824">
        <v>98.25</v>
      </c>
      <c r="D1824">
        <v>1</v>
      </c>
      <c r="E1824" s="5">
        <v>4814.25</v>
      </c>
      <c r="F1824" s="3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 s="7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 s="5">
        <v>31</v>
      </c>
      <c r="C1825">
        <v>91.17</v>
      </c>
      <c r="D1825">
        <v>2</v>
      </c>
      <c r="E1825" s="5">
        <v>2826.27</v>
      </c>
      <c r="F1825" s="3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 s="7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 s="5">
        <v>20</v>
      </c>
      <c r="C1826">
        <v>79.66</v>
      </c>
      <c r="D1826">
        <v>11</v>
      </c>
      <c r="E1826" s="5">
        <v>1593.2</v>
      </c>
      <c r="F1826" s="3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s="7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 s="5">
        <v>45</v>
      </c>
      <c r="C1827">
        <v>72.58</v>
      </c>
      <c r="D1827">
        <v>2</v>
      </c>
      <c r="E1827" s="5">
        <v>3266.1</v>
      </c>
      <c r="F1827" s="3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s="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 s="5">
        <v>33</v>
      </c>
      <c r="C1828">
        <v>74.349999999999994</v>
      </c>
      <c r="D1828">
        <v>2</v>
      </c>
      <c r="E1828" s="5">
        <v>2453.5500000000002</v>
      </c>
      <c r="F1828" s="3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 s="7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 s="5">
        <v>47</v>
      </c>
      <c r="C1829">
        <v>83.2</v>
      </c>
      <c r="D1829">
        <v>8</v>
      </c>
      <c r="E1829" s="5">
        <v>3910.4</v>
      </c>
      <c r="F1829" s="3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s="7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 s="5">
        <v>20</v>
      </c>
      <c r="C1830">
        <v>89.4</v>
      </c>
      <c r="D1830">
        <v>2</v>
      </c>
      <c r="E1830" s="5">
        <v>1788</v>
      </c>
      <c r="F1830" s="3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s="7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 s="5">
        <v>47</v>
      </c>
      <c r="C1831">
        <v>70.81</v>
      </c>
      <c r="D1831">
        <v>14</v>
      </c>
      <c r="E1831" s="5">
        <v>3328.07</v>
      </c>
      <c r="F1831" s="3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 s="7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 s="5">
        <v>40</v>
      </c>
      <c r="C1832">
        <v>94.71</v>
      </c>
      <c r="D1832">
        <v>2</v>
      </c>
      <c r="E1832" s="5">
        <v>3788.4</v>
      </c>
      <c r="F1832" s="3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 s="7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 s="5">
        <v>30</v>
      </c>
      <c r="C1833">
        <v>100</v>
      </c>
      <c r="D1833">
        <v>5</v>
      </c>
      <c r="E1833" s="5">
        <v>3053.7</v>
      </c>
      <c r="F1833" s="3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 s="7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 s="5">
        <v>22</v>
      </c>
      <c r="C1834">
        <v>91.17</v>
      </c>
      <c r="D1834">
        <v>3</v>
      </c>
      <c r="E1834" s="5">
        <v>2005.74</v>
      </c>
      <c r="F1834" s="3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s="7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 s="5">
        <v>27</v>
      </c>
      <c r="C1835">
        <v>100</v>
      </c>
      <c r="D1835">
        <v>6</v>
      </c>
      <c r="E1835" s="5">
        <v>2796.12</v>
      </c>
      <c r="F1835" s="3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s="7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 s="5">
        <v>34</v>
      </c>
      <c r="C1836">
        <v>92.94</v>
      </c>
      <c r="D1836">
        <v>8</v>
      </c>
      <c r="E1836" s="5">
        <v>3159.96</v>
      </c>
      <c r="F1836" s="3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s="7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 s="5">
        <v>46</v>
      </c>
      <c r="C1837">
        <v>84.97</v>
      </c>
      <c r="D1837">
        <v>3</v>
      </c>
      <c r="E1837" s="5">
        <v>3908.62</v>
      </c>
      <c r="F1837" s="3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 s="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 s="5">
        <v>31</v>
      </c>
      <c r="C1838">
        <v>84.08</v>
      </c>
      <c r="D1838">
        <v>2</v>
      </c>
      <c r="E1838" s="5">
        <v>2606.48</v>
      </c>
      <c r="F1838" s="3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s="7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 s="5">
        <v>24</v>
      </c>
      <c r="C1839">
        <v>86.74</v>
      </c>
      <c r="D1839">
        <v>1</v>
      </c>
      <c r="E1839" s="5">
        <v>2081.7600000000002</v>
      </c>
      <c r="F1839" s="3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s="7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 s="5">
        <v>41</v>
      </c>
      <c r="C1840">
        <v>85.85</v>
      </c>
      <c r="D1840">
        <v>3</v>
      </c>
      <c r="E1840" s="5">
        <v>3519.85</v>
      </c>
      <c r="F1840" s="3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s="7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 s="5">
        <v>55</v>
      </c>
      <c r="C1841">
        <v>100</v>
      </c>
      <c r="D1841">
        <v>13</v>
      </c>
      <c r="E1841" s="5">
        <v>10758</v>
      </c>
      <c r="F1841" s="3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s="7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 s="5">
        <v>30</v>
      </c>
      <c r="C1842">
        <v>100</v>
      </c>
      <c r="D1842">
        <v>9</v>
      </c>
      <c r="E1842" s="5">
        <v>3021</v>
      </c>
      <c r="F1842" s="3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s="7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 s="5">
        <v>33</v>
      </c>
      <c r="C1843">
        <v>57.32</v>
      </c>
      <c r="D1843">
        <v>12</v>
      </c>
      <c r="E1843" s="5">
        <v>1891.56</v>
      </c>
      <c r="F1843" s="3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s="7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 s="5">
        <v>43</v>
      </c>
      <c r="C1844">
        <v>97.87</v>
      </c>
      <c r="D1844">
        <v>2</v>
      </c>
      <c r="E1844" s="5">
        <v>4208.41</v>
      </c>
      <c r="F1844" s="3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 s="7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 s="5">
        <v>27</v>
      </c>
      <c r="C1845">
        <v>83.2</v>
      </c>
      <c r="D1845">
        <v>7</v>
      </c>
      <c r="E1845" s="5">
        <v>2246.4</v>
      </c>
      <c r="F1845" s="3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 s="7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 s="5">
        <v>60</v>
      </c>
      <c r="C1846">
        <v>100</v>
      </c>
      <c r="D1846">
        <v>5</v>
      </c>
      <c r="E1846" s="5">
        <v>6107.4</v>
      </c>
      <c r="F1846" s="3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 s="7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 s="5">
        <v>27</v>
      </c>
      <c r="C1847">
        <v>73.62</v>
      </c>
      <c r="D1847">
        <v>12</v>
      </c>
      <c r="E1847" s="5">
        <v>1987.74</v>
      </c>
      <c r="F1847" s="3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s="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 s="5">
        <v>49</v>
      </c>
      <c r="C1848">
        <v>83.04</v>
      </c>
      <c r="D1848">
        <v>11</v>
      </c>
      <c r="E1848" s="5">
        <v>4068.96</v>
      </c>
      <c r="F1848" s="3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 s="7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 s="5">
        <v>31</v>
      </c>
      <c r="C1849">
        <v>73.62</v>
      </c>
      <c r="D1849">
        <v>5</v>
      </c>
      <c r="E1849" s="5">
        <v>2282.2199999999998</v>
      </c>
      <c r="F1849" s="3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s="7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 s="5">
        <v>20</v>
      </c>
      <c r="C1850">
        <v>77.05</v>
      </c>
      <c r="D1850">
        <v>4</v>
      </c>
      <c r="E1850" s="5">
        <v>1541</v>
      </c>
      <c r="F1850" s="3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s="7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 s="5">
        <v>24</v>
      </c>
      <c r="C1851">
        <v>81.33</v>
      </c>
      <c r="D1851">
        <v>2</v>
      </c>
      <c r="E1851" s="5">
        <v>1951.92</v>
      </c>
      <c r="F1851" s="3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 s="7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 s="5">
        <v>33</v>
      </c>
      <c r="C1852">
        <v>94.17</v>
      </c>
      <c r="D1852">
        <v>15</v>
      </c>
      <c r="E1852" s="5">
        <v>3107.61</v>
      </c>
      <c r="F1852" s="3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 s="7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 s="5">
        <v>32</v>
      </c>
      <c r="C1853">
        <v>72.77</v>
      </c>
      <c r="D1853">
        <v>3</v>
      </c>
      <c r="E1853" s="5">
        <v>2328.64</v>
      </c>
      <c r="F1853" s="3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 s="7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 s="5">
        <v>40</v>
      </c>
      <c r="C1854">
        <v>79.62</v>
      </c>
      <c r="D1854">
        <v>9</v>
      </c>
      <c r="E1854" s="5">
        <v>3184.8</v>
      </c>
      <c r="F1854" s="3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 s="7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 s="5">
        <v>27</v>
      </c>
      <c r="C1855">
        <v>79.62</v>
      </c>
      <c r="D1855">
        <v>2</v>
      </c>
      <c r="E1855" s="5">
        <v>2149.7399999999998</v>
      </c>
      <c r="F1855" s="3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s="7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 s="5">
        <v>40</v>
      </c>
      <c r="C1856">
        <v>79.62</v>
      </c>
      <c r="D1856">
        <v>15</v>
      </c>
      <c r="E1856" s="5">
        <v>3184.8</v>
      </c>
      <c r="F1856" s="3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s="7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 s="5">
        <v>26</v>
      </c>
      <c r="C1857">
        <v>81.33</v>
      </c>
      <c r="D1857">
        <v>7</v>
      </c>
      <c r="E1857" s="5">
        <v>2114.58</v>
      </c>
      <c r="F1857" s="3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s="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 s="5">
        <v>44</v>
      </c>
      <c r="C1858">
        <v>96.74</v>
      </c>
      <c r="D1858">
        <v>4</v>
      </c>
      <c r="E1858" s="5">
        <v>4256.5600000000004</v>
      </c>
      <c r="F1858" s="3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 s="7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 s="5">
        <v>33</v>
      </c>
      <c r="C1859">
        <v>71.06</v>
      </c>
      <c r="D1859">
        <v>4</v>
      </c>
      <c r="E1859" s="5">
        <v>2344.98</v>
      </c>
      <c r="F1859" s="3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s="7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 s="5">
        <v>34</v>
      </c>
      <c r="C1860">
        <v>68.489999999999995</v>
      </c>
      <c r="D1860">
        <v>10</v>
      </c>
      <c r="E1860" s="5">
        <v>2328.66</v>
      </c>
      <c r="F1860" s="3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s="7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 s="5">
        <v>48</v>
      </c>
      <c r="C1861">
        <v>74.48</v>
      </c>
      <c r="D1861">
        <v>6</v>
      </c>
      <c r="E1861" s="5">
        <v>3575.04</v>
      </c>
      <c r="F1861" s="3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s="7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 s="5">
        <v>25</v>
      </c>
      <c r="C1862">
        <v>83.04</v>
      </c>
      <c r="D1862">
        <v>5</v>
      </c>
      <c r="E1862" s="5">
        <v>2076</v>
      </c>
      <c r="F1862" s="3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s="7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 s="5">
        <v>39</v>
      </c>
      <c r="C1863">
        <v>84.75</v>
      </c>
      <c r="D1863">
        <v>2</v>
      </c>
      <c r="E1863" s="5">
        <v>3305.25</v>
      </c>
      <c r="F1863" s="3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 s="7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 s="5">
        <v>45</v>
      </c>
      <c r="C1864">
        <v>34.19</v>
      </c>
      <c r="D1864">
        <v>12</v>
      </c>
      <c r="E1864" s="5">
        <v>1538.55</v>
      </c>
      <c r="F1864" s="3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s="7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 s="5">
        <v>24</v>
      </c>
      <c r="C1865">
        <v>100</v>
      </c>
      <c r="D1865">
        <v>2</v>
      </c>
      <c r="E1865" s="5">
        <v>3325.92</v>
      </c>
      <c r="F1865" s="3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 s="7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 s="5">
        <v>46</v>
      </c>
      <c r="C1866">
        <v>79.62</v>
      </c>
      <c r="D1866">
        <v>1</v>
      </c>
      <c r="E1866" s="5">
        <v>3662.52</v>
      </c>
      <c r="F1866" s="3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 s="7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 s="5">
        <v>44</v>
      </c>
      <c r="C1867">
        <v>79.06</v>
      </c>
      <c r="D1867">
        <v>9</v>
      </c>
      <c r="E1867" s="5">
        <v>3478.64</v>
      </c>
      <c r="F1867" s="3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s="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 s="5">
        <v>13</v>
      </c>
      <c r="C1868">
        <v>81.33</v>
      </c>
      <c r="D1868">
        <v>7</v>
      </c>
      <c r="E1868" s="5">
        <v>1057.29</v>
      </c>
      <c r="F1868" s="3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 s="7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 s="5">
        <v>35</v>
      </c>
      <c r="C1869">
        <v>96.74</v>
      </c>
      <c r="D1869">
        <v>10</v>
      </c>
      <c r="E1869" s="5">
        <v>3385.9</v>
      </c>
      <c r="F1869" s="3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s="7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 s="5">
        <v>30</v>
      </c>
      <c r="C1870">
        <v>63.07</v>
      </c>
      <c r="D1870">
        <v>5</v>
      </c>
      <c r="E1870" s="5">
        <v>1892.1</v>
      </c>
      <c r="F1870" s="3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s="7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 s="5">
        <v>34</v>
      </c>
      <c r="C1871">
        <v>50.21</v>
      </c>
      <c r="D1871">
        <v>9</v>
      </c>
      <c r="E1871" s="5">
        <v>1707.14</v>
      </c>
      <c r="F1871" s="3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s="7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 s="5">
        <v>27</v>
      </c>
      <c r="C1872">
        <v>66.13</v>
      </c>
      <c r="D1872">
        <v>6</v>
      </c>
      <c r="E1872" s="5">
        <v>1785.51</v>
      </c>
      <c r="F1872" s="3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 s="7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 s="5">
        <v>30</v>
      </c>
      <c r="C1873">
        <v>68.58</v>
      </c>
      <c r="D1873">
        <v>6</v>
      </c>
      <c r="E1873" s="5">
        <v>2057.4</v>
      </c>
      <c r="F1873" s="3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 s="7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 s="5">
        <v>50</v>
      </c>
      <c r="C1874">
        <v>69.8</v>
      </c>
      <c r="D1874">
        <v>1</v>
      </c>
      <c r="E1874" s="5">
        <v>3490</v>
      </c>
      <c r="F1874" s="3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 s="7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 s="5">
        <v>34</v>
      </c>
      <c r="C1875">
        <v>50.21</v>
      </c>
      <c r="D1875">
        <v>1</v>
      </c>
      <c r="E1875" s="5">
        <v>1707.14</v>
      </c>
      <c r="F1875" s="3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s="7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 s="5">
        <v>23</v>
      </c>
      <c r="C1876">
        <v>65.52</v>
      </c>
      <c r="D1876">
        <v>13</v>
      </c>
      <c r="E1876" s="5">
        <v>1506.96</v>
      </c>
      <c r="F1876" s="3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s="7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 s="5">
        <v>48</v>
      </c>
      <c r="C1877">
        <v>60.01</v>
      </c>
      <c r="D1877">
        <v>2</v>
      </c>
      <c r="E1877" s="5">
        <v>2880.48</v>
      </c>
      <c r="F1877" s="3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s="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 s="5">
        <v>34</v>
      </c>
      <c r="C1878">
        <v>64.900000000000006</v>
      </c>
      <c r="D1878">
        <v>7</v>
      </c>
      <c r="E1878" s="5">
        <v>2206.6</v>
      </c>
      <c r="F1878" s="3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s="7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 s="5">
        <v>48</v>
      </c>
      <c r="C1879">
        <v>48.98</v>
      </c>
      <c r="D1879">
        <v>1</v>
      </c>
      <c r="E1879" s="5">
        <v>2351.04</v>
      </c>
      <c r="F1879" s="3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s="7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 s="5">
        <v>24</v>
      </c>
      <c r="C1880">
        <v>50.21</v>
      </c>
      <c r="D1880">
        <v>8</v>
      </c>
      <c r="E1880" s="5">
        <v>1205.04</v>
      </c>
      <c r="F1880" s="3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s="7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 s="5">
        <v>47</v>
      </c>
      <c r="C1881">
        <v>62.45</v>
      </c>
      <c r="D1881">
        <v>2</v>
      </c>
      <c r="E1881" s="5">
        <v>2935.15</v>
      </c>
      <c r="F1881" s="3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s="7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 s="5">
        <v>24</v>
      </c>
      <c r="C1882">
        <v>52.66</v>
      </c>
      <c r="D1882">
        <v>12</v>
      </c>
      <c r="E1882" s="5">
        <v>1263.8399999999999</v>
      </c>
      <c r="F1882" s="3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s="7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 s="5">
        <v>47</v>
      </c>
      <c r="C1883">
        <v>62.45</v>
      </c>
      <c r="D1883">
        <v>13</v>
      </c>
      <c r="E1883" s="5">
        <v>2935.15</v>
      </c>
      <c r="F1883" s="3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s="7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 s="5">
        <v>20</v>
      </c>
      <c r="C1884">
        <v>61.23</v>
      </c>
      <c r="D1884">
        <v>2</v>
      </c>
      <c r="E1884" s="5">
        <v>1224.5999999999999</v>
      </c>
      <c r="F1884" s="3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 s="7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 s="5">
        <v>20</v>
      </c>
      <c r="C1885">
        <v>67.97</v>
      </c>
      <c r="D1885">
        <v>11</v>
      </c>
      <c r="E1885" s="5">
        <v>1359.4</v>
      </c>
      <c r="F1885" s="3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s="7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 s="5">
        <v>31</v>
      </c>
      <c r="C1886">
        <v>58.78</v>
      </c>
      <c r="D1886">
        <v>4</v>
      </c>
      <c r="E1886" s="5">
        <v>1822.18</v>
      </c>
      <c r="F1886" s="3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s="7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 s="5">
        <v>38</v>
      </c>
      <c r="C1887">
        <v>56.94</v>
      </c>
      <c r="D1887">
        <v>9</v>
      </c>
      <c r="E1887" s="5">
        <v>2163.7199999999998</v>
      </c>
      <c r="F1887" s="3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s="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 s="5">
        <v>26</v>
      </c>
      <c r="C1888">
        <v>61.23</v>
      </c>
      <c r="D1888">
        <v>2</v>
      </c>
      <c r="E1888" s="5">
        <v>1591.98</v>
      </c>
      <c r="F1888" s="3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s="7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 s="5">
        <v>25</v>
      </c>
      <c r="C1889">
        <v>100</v>
      </c>
      <c r="D1889">
        <v>9</v>
      </c>
      <c r="E1889" s="5">
        <v>3078.5</v>
      </c>
      <c r="F1889" s="3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 s="7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 s="5">
        <v>48</v>
      </c>
      <c r="C1890">
        <v>62.45</v>
      </c>
      <c r="D1890">
        <v>10</v>
      </c>
      <c r="E1890" s="5">
        <v>2997.6</v>
      </c>
      <c r="F1890" s="3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s="7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 s="5">
        <v>44</v>
      </c>
      <c r="C1891">
        <v>62.45</v>
      </c>
      <c r="D1891">
        <v>6</v>
      </c>
      <c r="E1891" s="5">
        <v>2747.8</v>
      </c>
      <c r="F1891" s="3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s="7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 s="5">
        <v>21</v>
      </c>
      <c r="C1892">
        <v>100</v>
      </c>
      <c r="D1892">
        <v>15</v>
      </c>
      <c r="E1892" s="5">
        <v>2447.7600000000002</v>
      </c>
      <c r="F1892" s="3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s="7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 s="5">
        <v>46</v>
      </c>
      <c r="C1893">
        <v>41.54</v>
      </c>
      <c r="D1893">
        <v>6</v>
      </c>
      <c r="E1893" s="5">
        <v>1910.84</v>
      </c>
      <c r="F1893" s="3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s="7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 s="5">
        <v>46</v>
      </c>
      <c r="C1894">
        <v>52.84</v>
      </c>
      <c r="D1894">
        <v>6</v>
      </c>
      <c r="E1894" s="5">
        <v>2430.64</v>
      </c>
      <c r="F1894" s="3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 s="7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 s="5">
        <v>55</v>
      </c>
      <c r="C1895">
        <v>52.66</v>
      </c>
      <c r="D1895">
        <v>12</v>
      </c>
      <c r="E1895" s="5">
        <v>2896.3</v>
      </c>
      <c r="F1895" s="3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s="7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 s="5">
        <v>31</v>
      </c>
      <c r="C1896">
        <v>52.6</v>
      </c>
      <c r="D1896">
        <v>14</v>
      </c>
      <c r="E1896" s="5">
        <v>1630.6</v>
      </c>
      <c r="F1896" s="3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s="7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 s="5">
        <v>20</v>
      </c>
      <c r="C1897">
        <v>72.98</v>
      </c>
      <c r="D1897">
        <v>5</v>
      </c>
      <c r="E1897" s="5">
        <v>1459.6</v>
      </c>
      <c r="F1897" s="3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s="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 s="5">
        <v>29</v>
      </c>
      <c r="C1898">
        <v>59.18</v>
      </c>
      <c r="D1898">
        <v>6</v>
      </c>
      <c r="E1898" s="5">
        <v>1716.22</v>
      </c>
      <c r="F1898" s="3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 s="7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 s="5">
        <v>33</v>
      </c>
      <c r="C1899">
        <v>77.59</v>
      </c>
      <c r="D1899">
        <v>9</v>
      </c>
      <c r="E1899" s="5">
        <v>2560.4699999999998</v>
      </c>
      <c r="F1899" s="3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 s="7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 s="5">
        <v>34</v>
      </c>
      <c r="C1900">
        <v>55.89</v>
      </c>
      <c r="D1900">
        <v>7</v>
      </c>
      <c r="E1900" s="5">
        <v>1900.26</v>
      </c>
      <c r="F1900" s="3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s="7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 s="5">
        <v>32</v>
      </c>
      <c r="C1901">
        <v>63.12</v>
      </c>
      <c r="D1901">
        <v>3</v>
      </c>
      <c r="E1901" s="5">
        <v>2019.84</v>
      </c>
      <c r="F1901" s="3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s="7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 s="5">
        <v>27</v>
      </c>
      <c r="C1902">
        <v>73.64</v>
      </c>
      <c r="D1902">
        <v>6</v>
      </c>
      <c r="E1902" s="5">
        <v>1988.28</v>
      </c>
      <c r="F1902" s="3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s="7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 s="5">
        <v>21</v>
      </c>
      <c r="C1903">
        <v>69.040000000000006</v>
      </c>
      <c r="D1903">
        <v>3</v>
      </c>
      <c r="E1903" s="5">
        <v>1449.84</v>
      </c>
      <c r="F1903" s="3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s="7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 s="5">
        <v>27</v>
      </c>
      <c r="C1904">
        <v>71.67</v>
      </c>
      <c r="D1904">
        <v>6</v>
      </c>
      <c r="E1904" s="5">
        <v>1935.09</v>
      </c>
      <c r="F1904" s="3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s="7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 s="5">
        <v>36</v>
      </c>
      <c r="C1905">
        <v>77.59</v>
      </c>
      <c r="D1905">
        <v>2</v>
      </c>
      <c r="E1905" s="5">
        <v>2793.24</v>
      </c>
      <c r="F1905" s="3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 s="7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 s="5">
        <v>43</v>
      </c>
      <c r="C1906">
        <v>70.349999999999994</v>
      </c>
      <c r="D1906">
        <v>6</v>
      </c>
      <c r="E1906" s="5">
        <v>3025.05</v>
      </c>
      <c r="F1906" s="3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 s="7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 s="5">
        <v>25</v>
      </c>
      <c r="C1907">
        <v>69.7</v>
      </c>
      <c r="D1907">
        <v>2</v>
      </c>
      <c r="E1907" s="5">
        <v>1742.5</v>
      </c>
      <c r="F1907" s="3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 s="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 s="5">
        <v>46</v>
      </c>
      <c r="C1908">
        <v>70.349999999999994</v>
      </c>
      <c r="D1908">
        <v>11</v>
      </c>
      <c r="E1908" s="5">
        <v>3236.1</v>
      </c>
      <c r="F1908" s="3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s="7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 s="5">
        <v>24</v>
      </c>
      <c r="C1909">
        <v>72.33</v>
      </c>
      <c r="D1909">
        <v>3</v>
      </c>
      <c r="E1909" s="5">
        <v>1735.92</v>
      </c>
      <c r="F1909" s="3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 s="7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 s="5">
        <v>39</v>
      </c>
      <c r="C1910">
        <v>71.67</v>
      </c>
      <c r="D1910">
        <v>13</v>
      </c>
      <c r="E1910" s="5">
        <v>2795.13</v>
      </c>
      <c r="F1910" s="3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s="7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 s="5">
        <v>31</v>
      </c>
      <c r="C1911">
        <v>53.92</v>
      </c>
      <c r="D1911">
        <v>9</v>
      </c>
      <c r="E1911" s="5">
        <v>1671.52</v>
      </c>
      <c r="F1911" s="3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s="7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 s="5">
        <v>22</v>
      </c>
      <c r="C1912">
        <v>71.67</v>
      </c>
      <c r="D1912">
        <v>3</v>
      </c>
      <c r="E1912" s="5">
        <v>1576.74</v>
      </c>
      <c r="F1912" s="3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 s="7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 s="5">
        <v>47</v>
      </c>
      <c r="C1913">
        <v>76.930000000000007</v>
      </c>
      <c r="D1913">
        <v>11</v>
      </c>
      <c r="E1913" s="5">
        <v>3615.71</v>
      </c>
      <c r="F1913" s="3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s="7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 s="5">
        <v>20</v>
      </c>
      <c r="C1914">
        <v>72.98</v>
      </c>
      <c r="D1914">
        <v>2</v>
      </c>
      <c r="E1914" s="5">
        <v>1459.6</v>
      </c>
      <c r="F1914" s="3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s="7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 s="5">
        <v>29</v>
      </c>
      <c r="C1915">
        <v>99.69</v>
      </c>
      <c r="D1915">
        <v>14</v>
      </c>
      <c r="E1915" s="5">
        <v>2891.01</v>
      </c>
      <c r="F1915" s="3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s="7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 s="5">
        <v>38</v>
      </c>
      <c r="C1916">
        <v>68.38</v>
      </c>
      <c r="D1916">
        <v>4</v>
      </c>
      <c r="E1916" s="5">
        <v>2598.44</v>
      </c>
      <c r="F1916" s="3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s="7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 s="5">
        <v>34</v>
      </c>
      <c r="C1917">
        <v>100</v>
      </c>
      <c r="D1917">
        <v>6</v>
      </c>
      <c r="E1917" s="5">
        <v>3871.92</v>
      </c>
      <c r="F1917" s="3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s="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 s="5">
        <v>46</v>
      </c>
      <c r="C1918">
        <v>66</v>
      </c>
      <c r="D1918">
        <v>11</v>
      </c>
      <c r="E1918" s="5">
        <v>3036</v>
      </c>
      <c r="F1918" s="3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s="7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 s="5">
        <v>35</v>
      </c>
      <c r="C1919">
        <v>63.76</v>
      </c>
      <c r="D1919">
        <v>9</v>
      </c>
      <c r="E1919" s="5">
        <v>2231.6</v>
      </c>
      <c r="F1919" s="3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s="7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 s="5">
        <v>34</v>
      </c>
      <c r="C1920">
        <v>71.67</v>
      </c>
      <c r="D1920">
        <v>13</v>
      </c>
      <c r="E1920" s="5">
        <v>2436.7800000000002</v>
      </c>
      <c r="F1920" s="3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s="7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 s="5">
        <v>38</v>
      </c>
      <c r="C1921">
        <v>57.2</v>
      </c>
      <c r="D1921">
        <v>3</v>
      </c>
      <c r="E1921" s="5">
        <v>2173.6</v>
      </c>
      <c r="F1921" s="3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 s="7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 s="5">
        <v>18</v>
      </c>
      <c r="C1922">
        <v>69.7</v>
      </c>
      <c r="D1922">
        <v>2</v>
      </c>
      <c r="E1922" s="5">
        <v>1254.5999999999999</v>
      </c>
      <c r="F1922" s="3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s="7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 s="5">
        <v>37</v>
      </c>
      <c r="C1923">
        <v>100</v>
      </c>
      <c r="D1923">
        <v>14</v>
      </c>
      <c r="E1923" s="5">
        <v>3724.42</v>
      </c>
      <c r="F1923" s="3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s="7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 s="5">
        <v>43</v>
      </c>
      <c r="C1924">
        <v>100</v>
      </c>
      <c r="D1924">
        <v>13</v>
      </c>
      <c r="E1924" s="5">
        <v>5203</v>
      </c>
      <c r="F1924" s="3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 s="7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 s="5">
        <v>27</v>
      </c>
      <c r="C1925">
        <v>100</v>
      </c>
      <c r="D1925">
        <v>7</v>
      </c>
      <c r="E1925" s="5">
        <v>3469.5</v>
      </c>
      <c r="F1925" s="3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s="7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 s="5">
        <v>30</v>
      </c>
      <c r="C1926">
        <v>100</v>
      </c>
      <c r="D1926">
        <v>6</v>
      </c>
      <c r="E1926" s="5">
        <v>3148.2</v>
      </c>
      <c r="F1926" s="3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s="7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 s="5">
        <v>22</v>
      </c>
      <c r="C1927">
        <v>98.51</v>
      </c>
      <c r="D1927">
        <v>4</v>
      </c>
      <c r="E1927" s="5">
        <v>2167.2199999999998</v>
      </c>
      <c r="F1927" s="3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 s="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 s="5">
        <v>49</v>
      </c>
      <c r="C1928">
        <v>100</v>
      </c>
      <c r="D1928">
        <v>17</v>
      </c>
      <c r="E1928" s="5">
        <v>6244.07</v>
      </c>
      <c r="F1928" s="3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 s="7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 s="5">
        <v>46</v>
      </c>
      <c r="C1929">
        <v>100</v>
      </c>
      <c r="D1929">
        <v>5</v>
      </c>
      <c r="E1929" s="5">
        <v>5566</v>
      </c>
      <c r="F1929" s="3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 s="7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 s="5">
        <v>48</v>
      </c>
      <c r="C1930">
        <v>91.02</v>
      </c>
      <c r="D1930">
        <v>11</v>
      </c>
      <c r="E1930" s="5">
        <v>4368.96</v>
      </c>
      <c r="F1930" s="3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 s="7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 s="5">
        <v>46</v>
      </c>
      <c r="C1931">
        <v>87.81</v>
      </c>
      <c r="D1931">
        <v>4</v>
      </c>
      <c r="E1931" s="5">
        <v>4039.26</v>
      </c>
      <c r="F1931" s="3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s="7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 s="5">
        <v>48</v>
      </c>
      <c r="C1932">
        <v>92.09</v>
      </c>
      <c r="D1932">
        <v>2</v>
      </c>
      <c r="E1932" s="5">
        <v>4420.32</v>
      </c>
      <c r="F1932" s="3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 s="7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 s="5">
        <v>27</v>
      </c>
      <c r="C1933">
        <v>86.73</v>
      </c>
      <c r="D1933">
        <v>9</v>
      </c>
      <c r="E1933" s="5">
        <v>2341.71</v>
      </c>
      <c r="F1933" s="3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s="7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 s="5">
        <v>43</v>
      </c>
      <c r="C1934">
        <v>100</v>
      </c>
      <c r="D1934">
        <v>6</v>
      </c>
      <c r="E1934" s="5">
        <v>5110.9799999999996</v>
      </c>
      <c r="F1934" s="3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 s="7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 s="5">
        <v>48</v>
      </c>
      <c r="C1935">
        <v>100</v>
      </c>
      <c r="D1935">
        <v>6</v>
      </c>
      <c r="E1935" s="5">
        <v>6168</v>
      </c>
      <c r="F1935" s="3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s="7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 s="5">
        <v>41</v>
      </c>
      <c r="C1936">
        <v>100</v>
      </c>
      <c r="D1936">
        <v>12</v>
      </c>
      <c r="E1936" s="5">
        <v>4873.26</v>
      </c>
      <c r="F1936" s="3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s="7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 s="5">
        <v>22</v>
      </c>
      <c r="C1937">
        <v>96.37</v>
      </c>
      <c r="D1937">
        <v>2</v>
      </c>
      <c r="E1937" s="5">
        <v>2120.14</v>
      </c>
      <c r="F1937" s="3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s="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 s="5">
        <v>46</v>
      </c>
      <c r="C1938">
        <v>92.09</v>
      </c>
      <c r="D1938">
        <v>7</v>
      </c>
      <c r="E1938" s="5">
        <v>4236.1400000000003</v>
      </c>
      <c r="F1938" s="3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s="7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 s="5">
        <v>21</v>
      </c>
      <c r="C1939">
        <v>89.95</v>
      </c>
      <c r="D1939">
        <v>4</v>
      </c>
      <c r="E1939" s="5">
        <v>1888.95</v>
      </c>
      <c r="F1939" s="3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 s="7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 s="5">
        <v>31</v>
      </c>
      <c r="C1940">
        <v>37.18</v>
      </c>
      <c r="D1940">
        <v>13</v>
      </c>
      <c r="E1940" s="5">
        <v>1152.58</v>
      </c>
      <c r="F1940" s="3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s="7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 s="5">
        <v>26</v>
      </c>
      <c r="C1941">
        <v>95.88</v>
      </c>
      <c r="D1941">
        <v>6</v>
      </c>
      <c r="E1941" s="5">
        <v>2492.88</v>
      </c>
      <c r="F1941" s="3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 s="7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 s="5">
        <v>20</v>
      </c>
      <c r="C1942">
        <v>99.58</v>
      </c>
      <c r="D1942">
        <v>4</v>
      </c>
      <c r="E1942" s="5">
        <v>1991.6</v>
      </c>
      <c r="F1942" s="3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 s="7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 s="5">
        <v>34</v>
      </c>
      <c r="C1943">
        <v>100</v>
      </c>
      <c r="D1943">
        <v>11</v>
      </c>
      <c r="E1943" s="5">
        <v>3953.18</v>
      </c>
      <c r="F1943" s="3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s="7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 s="5">
        <v>43</v>
      </c>
      <c r="C1944">
        <v>86.73</v>
      </c>
      <c r="D1944">
        <v>9</v>
      </c>
      <c r="E1944" s="5">
        <v>3729.39</v>
      </c>
      <c r="F1944" s="3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 s="7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 s="5">
        <v>26</v>
      </c>
      <c r="C1945">
        <v>100</v>
      </c>
      <c r="D1945">
        <v>12</v>
      </c>
      <c r="E1945" s="5">
        <v>2617.16</v>
      </c>
      <c r="F1945" s="3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s="7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 s="5">
        <v>50</v>
      </c>
      <c r="C1946">
        <v>79.67</v>
      </c>
      <c r="D1946">
        <v>1</v>
      </c>
      <c r="E1946" s="5">
        <v>3983.5</v>
      </c>
      <c r="F1946" s="3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s="7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 s="5">
        <v>35</v>
      </c>
      <c r="C1947">
        <v>90.57</v>
      </c>
      <c r="D1947">
        <v>10</v>
      </c>
      <c r="E1947" s="5">
        <v>3169.95</v>
      </c>
      <c r="F1947" s="3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s="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 s="5">
        <v>50</v>
      </c>
      <c r="C1948">
        <v>77.989999999999995</v>
      </c>
      <c r="D1948">
        <v>1</v>
      </c>
      <c r="E1948" s="5">
        <v>3899.5</v>
      </c>
      <c r="F1948" s="3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s="7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 s="5">
        <v>23</v>
      </c>
      <c r="C1949">
        <v>80.510000000000005</v>
      </c>
      <c r="D1949">
        <v>14</v>
      </c>
      <c r="E1949" s="5">
        <v>1851.73</v>
      </c>
      <c r="F1949" s="3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 s="7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 s="5">
        <v>37</v>
      </c>
      <c r="C1950">
        <v>67.930000000000007</v>
      </c>
      <c r="D1950">
        <v>12</v>
      </c>
      <c r="E1950" s="5">
        <v>2513.41</v>
      </c>
      <c r="F1950" s="3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s="7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 s="5">
        <v>29</v>
      </c>
      <c r="C1951">
        <v>83.86</v>
      </c>
      <c r="D1951">
        <v>8</v>
      </c>
      <c r="E1951" s="5">
        <v>2431.94</v>
      </c>
      <c r="F1951" s="3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s="7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 s="5">
        <v>21</v>
      </c>
      <c r="C1952">
        <v>72.12</v>
      </c>
      <c r="D1952">
        <v>11</v>
      </c>
      <c r="E1952" s="5">
        <v>1514.52</v>
      </c>
      <c r="F1952" s="3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s="7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 s="5">
        <v>36</v>
      </c>
      <c r="C1953">
        <v>85.54</v>
      </c>
      <c r="D1953">
        <v>8</v>
      </c>
      <c r="E1953" s="5">
        <v>3079.44</v>
      </c>
      <c r="F1953" s="3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s="7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 s="5">
        <v>22</v>
      </c>
      <c r="C1954">
        <v>86.38</v>
      </c>
      <c r="D1954">
        <v>5</v>
      </c>
      <c r="E1954" s="5">
        <v>1900.36</v>
      </c>
      <c r="F1954" s="3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s="7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 s="5">
        <v>22</v>
      </c>
      <c r="C1955">
        <v>89.73</v>
      </c>
      <c r="D1955">
        <v>7</v>
      </c>
      <c r="E1955" s="5">
        <v>1974.06</v>
      </c>
      <c r="F1955" s="3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 s="7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 s="5">
        <v>46</v>
      </c>
      <c r="C1956">
        <v>80.510000000000005</v>
      </c>
      <c r="D1956">
        <v>11</v>
      </c>
      <c r="E1956" s="5">
        <v>3703.46</v>
      </c>
      <c r="F1956" s="3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 s="7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 s="5">
        <v>23</v>
      </c>
      <c r="C1957">
        <v>76.31</v>
      </c>
      <c r="D1957">
        <v>2</v>
      </c>
      <c r="E1957" s="5">
        <v>1755.13</v>
      </c>
      <c r="F1957" s="3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 s="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 s="5">
        <v>49</v>
      </c>
      <c r="C1958">
        <v>87.21</v>
      </c>
      <c r="D1958">
        <v>16</v>
      </c>
      <c r="E1958" s="5">
        <v>4273.29</v>
      </c>
      <c r="F1958" s="3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s="7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 s="5">
        <v>48</v>
      </c>
      <c r="C1959">
        <v>83.02</v>
      </c>
      <c r="D1959">
        <v>3</v>
      </c>
      <c r="E1959" s="5">
        <v>3984.96</v>
      </c>
      <c r="F1959" s="3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s="7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 s="5">
        <v>33</v>
      </c>
      <c r="C1960">
        <v>72.959999999999994</v>
      </c>
      <c r="D1960">
        <v>5</v>
      </c>
      <c r="E1960" s="5">
        <v>2407.6799999999998</v>
      </c>
      <c r="F1960" s="3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s="7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 s="5">
        <v>22</v>
      </c>
      <c r="C1961">
        <v>77.150000000000006</v>
      </c>
      <c r="D1961">
        <v>14</v>
      </c>
      <c r="E1961" s="5">
        <v>1697.3</v>
      </c>
      <c r="F1961" s="3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s="7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 s="5">
        <v>22</v>
      </c>
      <c r="C1962">
        <v>91.41</v>
      </c>
      <c r="D1962">
        <v>8</v>
      </c>
      <c r="E1962" s="5">
        <v>2011.02</v>
      </c>
      <c r="F1962" s="3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 s="7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 s="5">
        <v>25</v>
      </c>
      <c r="C1963">
        <v>92.25</v>
      </c>
      <c r="D1963">
        <v>16</v>
      </c>
      <c r="E1963" s="5">
        <v>2306.25</v>
      </c>
      <c r="F1963" s="3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s="7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 s="5">
        <v>20</v>
      </c>
      <c r="C1964">
        <v>92.25</v>
      </c>
      <c r="D1964">
        <v>2</v>
      </c>
      <c r="E1964" s="5">
        <v>1845</v>
      </c>
      <c r="F1964" s="3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s="7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 s="5">
        <v>42</v>
      </c>
      <c r="C1965">
        <v>59.36</v>
      </c>
      <c r="D1965">
        <v>16</v>
      </c>
      <c r="E1965" s="5">
        <v>2493.12</v>
      </c>
      <c r="F1965" s="3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s="7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 s="5">
        <v>25</v>
      </c>
      <c r="C1966">
        <v>60.34</v>
      </c>
      <c r="D1966">
        <v>10</v>
      </c>
      <c r="E1966" s="5">
        <v>1508.5</v>
      </c>
      <c r="F1966" s="3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s="7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 s="5">
        <v>23</v>
      </c>
      <c r="C1967">
        <v>100</v>
      </c>
      <c r="D1967">
        <v>10</v>
      </c>
      <c r="E1967" s="5">
        <v>2394.3000000000002</v>
      </c>
      <c r="F1967" s="3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s="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 s="5">
        <v>37</v>
      </c>
      <c r="C1968">
        <v>85.54</v>
      </c>
      <c r="D1968">
        <v>2</v>
      </c>
      <c r="E1968" s="5">
        <v>3164.98</v>
      </c>
      <c r="F1968" s="3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 s="7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 s="5">
        <v>37</v>
      </c>
      <c r="C1969">
        <v>90.57</v>
      </c>
      <c r="D1969">
        <v>8</v>
      </c>
      <c r="E1969" s="5">
        <v>3351.09</v>
      </c>
      <c r="F1969" s="3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 s="7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 s="5">
        <v>42</v>
      </c>
      <c r="C1970">
        <v>72.959999999999994</v>
      </c>
      <c r="D1970">
        <v>8</v>
      </c>
      <c r="E1970" s="5">
        <v>3064.32</v>
      </c>
      <c r="F1970" s="3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 s="7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 s="5">
        <v>51</v>
      </c>
      <c r="C1971">
        <v>76.31</v>
      </c>
      <c r="D1971">
        <v>2</v>
      </c>
      <c r="E1971" s="5">
        <v>3891.81</v>
      </c>
      <c r="F1971" s="3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 s="7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 s="5">
        <v>40</v>
      </c>
      <c r="C1972">
        <v>100</v>
      </c>
      <c r="D1972">
        <v>1</v>
      </c>
      <c r="E1972" s="5">
        <v>5448.8</v>
      </c>
      <c r="F1972" s="3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s="7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 s="5">
        <v>43</v>
      </c>
      <c r="C1973">
        <v>100</v>
      </c>
      <c r="D1973">
        <v>5</v>
      </c>
      <c r="E1973" s="5">
        <v>5494.97</v>
      </c>
      <c r="F1973" s="3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s="7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 s="5">
        <v>47</v>
      </c>
      <c r="C1974">
        <v>100</v>
      </c>
      <c r="D1974">
        <v>2</v>
      </c>
      <c r="E1974" s="5">
        <v>6336.07</v>
      </c>
      <c r="F1974" s="3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 s="7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 s="5">
        <v>23</v>
      </c>
      <c r="C1975">
        <v>100</v>
      </c>
      <c r="D1975">
        <v>2</v>
      </c>
      <c r="E1975" s="5">
        <v>2906.97</v>
      </c>
      <c r="F1975" s="3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 s="7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 s="5">
        <v>35</v>
      </c>
      <c r="C1976">
        <v>100</v>
      </c>
      <c r="D1976">
        <v>3</v>
      </c>
      <c r="E1976" s="5">
        <v>4767.7</v>
      </c>
      <c r="F1976" s="3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 s="7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 s="5">
        <v>34</v>
      </c>
      <c r="C1977">
        <v>100</v>
      </c>
      <c r="D1977">
        <v>1</v>
      </c>
      <c r="E1977" s="5">
        <v>3819.56</v>
      </c>
      <c r="F1977" s="3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s="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 s="5">
        <v>25</v>
      </c>
      <c r="C1978">
        <v>100</v>
      </c>
      <c r="D1978">
        <v>9</v>
      </c>
      <c r="E1978" s="5">
        <v>3861.75</v>
      </c>
      <c r="F1978" s="3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s="7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 s="5">
        <v>45</v>
      </c>
      <c r="C1979">
        <v>100</v>
      </c>
      <c r="D1979">
        <v>14</v>
      </c>
      <c r="E1979" s="5">
        <v>6319.35</v>
      </c>
      <c r="F1979" s="3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 s="7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 s="5">
        <v>47</v>
      </c>
      <c r="C1980">
        <v>100</v>
      </c>
      <c r="D1980">
        <v>3</v>
      </c>
      <c r="E1980" s="5">
        <v>6996.42</v>
      </c>
      <c r="F1980" s="3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s="7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 s="5">
        <v>49</v>
      </c>
      <c r="C1981">
        <v>100</v>
      </c>
      <c r="D1981">
        <v>13</v>
      </c>
      <c r="E1981" s="5">
        <v>6949.67</v>
      </c>
      <c r="F1981" s="3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s="7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 s="5">
        <v>40</v>
      </c>
      <c r="C1982">
        <v>100</v>
      </c>
      <c r="D1982">
        <v>4</v>
      </c>
      <c r="E1982" s="5">
        <v>4550</v>
      </c>
      <c r="F1982" s="3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s="7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 s="5">
        <v>29</v>
      </c>
      <c r="C1983">
        <v>100</v>
      </c>
      <c r="D1983">
        <v>3</v>
      </c>
      <c r="E1983" s="5">
        <v>4479.63</v>
      </c>
      <c r="F1983" s="3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s="7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 s="5">
        <v>39</v>
      </c>
      <c r="C1984">
        <v>100</v>
      </c>
      <c r="D1984">
        <v>8</v>
      </c>
      <c r="E1984" s="5">
        <v>5148</v>
      </c>
      <c r="F1984" s="3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s="7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 s="5">
        <v>24</v>
      </c>
      <c r="C1985">
        <v>100</v>
      </c>
      <c r="D1985">
        <v>9</v>
      </c>
      <c r="E1985" s="5">
        <v>2932.08</v>
      </c>
      <c r="F1985" s="3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s="7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 s="5">
        <v>25</v>
      </c>
      <c r="C1986">
        <v>100</v>
      </c>
      <c r="D1986">
        <v>9</v>
      </c>
      <c r="E1986" s="5">
        <v>3159.75</v>
      </c>
      <c r="F1986" s="3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 s="7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 s="5">
        <v>36</v>
      </c>
      <c r="C1987">
        <v>100</v>
      </c>
      <c r="D1987">
        <v>7</v>
      </c>
      <c r="E1987" s="5">
        <v>4297.32</v>
      </c>
      <c r="F1987" s="3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s="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 s="5">
        <v>50</v>
      </c>
      <c r="C1988">
        <v>100</v>
      </c>
      <c r="D1988">
        <v>11</v>
      </c>
      <c r="E1988" s="5">
        <v>7723.5</v>
      </c>
      <c r="F1988" s="3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s="7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 s="5">
        <v>45</v>
      </c>
      <c r="C1989">
        <v>100</v>
      </c>
      <c r="D1989">
        <v>5</v>
      </c>
      <c r="E1989" s="5">
        <v>5497.65</v>
      </c>
      <c r="F1989" s="3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s="7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 s="5">
        <v>26</v>
      </c>
      <c r="C1990">
        <v>100</v>
      </c>
      <c r="D1990">
        <v>13</v>
      </c>
      <c r="E1990" s="5">
        <v>4052.88</v>
      </c>
      <c r="F1990" s="3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 s="7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 s="5">
        <v>21</v>
      </c>
      <c r="C1991">
        <v>100</v>
      </c>
      <c r="D1991">
        <v>1</v>
      </c>
      <c r="E1991" s="5">
        <v>3135.93</v>
      </c>
      <c r="F1991" s="3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 s="7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 s="5">
        <v>42</v>
      </c>
      <c r="C1992">
        <v>100</v>
      </c>
      <c r="D1992">
        <v>6</v>
      </c>
      <c r="E1992" s="5">
        <v>5013.54</v>
      </c>
      <c r="F1992" s="3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s="7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 s="5">
        <v>32</v>
      </c>
      <c r="C1993">
        <v>100</v>
      </c>
      <c r="D1993">
        <v>8</v>
      </c>
      <c r="E1993" s="5">
        <v>5302.72</v>
      </c>
      <c r="F1993" s="3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s="7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 s="5">
        <v>31</v>
      </c>
      <c r="C1994">
        <v>94.58</v>
      </c>
      <c r="D1994">
        <v>1</v>
      </c>
      <c r="E1994" s="5">
        <v>2931.98</v>
      </c>
      <c r="F1994" s="3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s="7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 s="5">
        <v>33</v>
      </c>
      <c r="C1995">
        <v>53.27</v>
      </c>
      <c r="D1995">
        <v>3</v>
      </c>
      <c r="E1995" s="5">
        <v>1757.91</v>
      </c>
      <c r="F1995" s="3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s="7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 s="5">
        <v>45</v>
      </c>
      <c r="C1996">
        <v>100</v>
      </c>
      <c r="D1996">
        <v>8</v>
      </c>
      <c r="E1996" s="5">
        <v>6763.05</v>
      </c>
      <c r="F1996" s="3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 s="7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 s="5">
        <v>76</v>
      </c>
      <c r="C1997">
        <v>100</v>
      </c>
      <c r="D1997">
        <v>3</v>
      </c>
      <c r="E1997" s="5">
        <v>11739.7</v>
      </c>
      <c r="F1997" s="3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s="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 s="5">
        <v>70</v>
      </c>
      <c r="C1998">
        <v>100</v>
      </c>
      <c r="D1998">
        <v>8</v>
      </c>
      <c r="E1998" s="5">
        <v>9240</v>
      </c>
      <c r="F1998" s="3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s="7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 s="5">
        <v>50</v>
      </c>
      <c r="C1999">
        <v>64.83</v>
      </c>
      <c r="D1999">
        <v>11</v>
      </c>
      <c r="E1999" s="5">
        <v>3241.5</v>
      </c>
      <c r="F1999" s="3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s="7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 s="5">
        <v>28</v>
      </c>
      <c r="C2000">
        <v>70.290000000000006</v>
      </c>
      <c r="D2000">
        <v>2</v>
      </c>
      <c r="E2000" s="5">
        <v>1968.12</v>
      </c>
      <c r="F2000" s="3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s="7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 s="5">
        <v>50</v>
      </c>
      <c r="C2001">
        <v>81.89</v>
      </c>
      <c r="D2001">
        <v>3</v>
      </c>
      <c r="E2001" s="5">
        <v>4094.5</v>
      </c>
      <c r="F2001" s="3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 s="7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 s="5">
        <v>28</v>
      </c>
      <c r="C2002">
        <v>66.19</v>
      </c>
      <c r="D2002">
        <v>6</v>
      </c>
      <c r="E2002" s="5">
        <v>1853.32</v>
      </c>
      <c r="F2002" s="3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 s="7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 s="5">
        <v>44</v>
      </c>
      <c r="C2003">
        <v>77.11</v>
      </c>
      <c r="D2003">
        <v>4</v>
      </c>
      <c r="E2003" s="5">
        <v>3392.84</v>
      </c>
      <c r="F2003" s="3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s="7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 s="5">
        <v>27</v>
      </c>
      <c r="C2004">
        <v>73.02</v>
      </c>
      <c r="D2004">
        <v>18</v>
      </c>
      <c r="E2004" s="5">
        <v>1971.54</v>
      </c>
      <c r="F2004" s="3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 s="7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 s="5">
        <v>30</v>
      </c>
      <c r="C2005">
        <v>72.33</v>
      </c>
      <c r="D2005">
        <v>3</v>
      </c>
      <c r="E2005" s="5">
        <v>2169.9</v>
      </c>
      <c r="F2005" s="3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s="7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 s="5">
        <v>43</v>
      </c>
      <c r="C2006">
        <v>66.19</v>
      </c>
      <c r="D2006">
        <v>3</v>
      </c>
      <c r="E2006" s="5">
        <v>2846.17</v>
      </c>
      <c r="F2006" s="3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s="7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 s="5">
        <v>29</v>
      </c>
      <c r="C2007">
        <v>69.599999999999994</v>
      </c>
      <c r="D2007">
        <v>16</v>
      </c>
      <c r="E2007" s="5">
        <v>2018.4</v>
      </c>
      <c r="F2007" s="3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s="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 s="5">
        <v>48</v>
      </c>
      <c r="C2008">
        <v>56.64</v>
      </c>
      <c r="D2008">
        <v>3</v>
      </c>
      <c r="E2008" s="5">
        <v>2718.72</v>
      </c>
      <c r="F2008" s="3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 s="7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 s="5">
        <v>33</v>
      </c>
      <c r="C2009">
        <v>60.05</v>
      </c>
      <c r="D2009">
        <v>12</v>
      </c>
      <c r="E2009" s="5">
        <v>1981.65</v>
      </c>
      <c r="F2009" s="3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s="7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 s="5">
        <v>40</v>
      </c>
      <c r="C2010">
        <v>75.06</v>
      </c>
      <c r="D2010">
        <v>13</v>
      </c>
      <c r="E2010" s="5">
        <v>3002.4</v>
      </c>
      <c r="F2010" s="3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 s="7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 s="5">
        <v>48</v>
      </c>
      <c r="C2011">
        <v>61.42</v>
      </c>
      <c r="D2011">
        <v>8</v>
      </c>
      <c r="E2011" s="5">
        <v>2948.16</v>
      </c>
      <c r="F2011" s="3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s="7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 s="5">
        <v>41</v>
      </c>
      <c r="C2012">
        <v>81.89</v>
      </c>
      <c r="D2012">
        <v>18</v>
      </c>
      <c r="E2012" s="5">
        <v>3357.49</v>
      </c>
      <c r="F2012" s="3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s="7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 s="5">
        <v>21</v>
      </c>
      <c r="C2013">
        <v>55.96</v>
      </c>
      <c r="D2013">
        <v>10</v>
      </c>
      <c r="E2013" s="5">
        <v>1175.1600000000001</v>
      </c>
      <c r="F2013" s="3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s="7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 s="5">
        <v>32</v>
      </c>
      <c r="C2014">
        <v>71.650000000000006</v>
      </c>
      <c r="D2014">
        <v>6</v>
      </c>
      <c r="E2014" s="5">
        <v>2292.8000000000002</v>
      </c>
      <c r="F2014" s="3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s="7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 s="5">
        <v>43</v>
      </c>
      <c r="C2015">
        <v>76.430000000000007</v>
      </c>
      <c r="D2015">
        <v>16</v>
      </c>
      <c r="E2015" s="5">
        <v>3286.49</v>
      </c>
      <c r="F2015" s="3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 s="7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 s="5">
        <v>30</v>
      </c>
      <c r="C2016">
        <v>77.790000000000006</v>
      </c>
      <c r="D2016">
        <v>8</v>
      </c>
      <c r="E2016" s="5">
        <v>2333.6999999999998</v>
      </c>
      <c r="F2016" s="3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s="7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 s="5">
        <v>35</v>
      </c>
      <c r="C2017">
        <v>76.430000000000007</v>
      </c>
      <c r="D2017">
        <v>3</v>
      </c>
      <c r="E2017" s="5">
        <v>2675.05</v>
      </c>
      <c r="F2017" s="3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s="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 s="5">
        <v>45</v>
      </c>
      <c r="C2018">
        <v>96.92</v>
      </c>
      <c r="D2018">
        <v>11</v>
      </c>
      <c r="E2018" s="5">
        <v>4361.3999999999996</v>
      </c>
      <c r="F2018" s="3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s="7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 s="5">
        <v>34</v>
      </c>
      <c r="C2019">
        <v>59.37</v>
      </c>
      <c r="D2019">
        <v>3</v>
      </c>
      <c r="E2019" s="5">
        <v>2018.58</v>
      </c>
      <c r="F2019" s="3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s="7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 s="5">
        <v>26</v>
      </c>
      <c r="C2020">
        <v>100</v>
      </c>
      <c r="D2020">
        <v>7</v>
      </c>
      <c r="E2020" s="5">
        <v>3710.98</v>
      </c>
      <c r="F2020" s="3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s="7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 s="5">
        <v>39</v>
      </c>
      <c r="C2021">
        <v>73</v>
      </c>
      <c r="D2021">
        <v>13</v>
      </c>
      <c r="E2021" s="5">
        <v>2847</v>
      </c>
      <c r="F2021" s="3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s="7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 s="5">
        <v>41</v>
      </c>
      <c r="C2022">
        <v>73.319999999999993</v>
      </c>
      <c r="D2022">
        <v>12</v>
      </c>
      <c r="E2022" s="5">
        <v>3006.12</v>
      </c>
      <c r="F2022" s="3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s="7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 s="5">
        <v>41</v>
      </c>
      <c r="C2023">
        <v>68.239999999999995</v>
      </c>
      <c r="D2023">
        <v>2</v>
      </c>
      <c r="E2023" s="5">
        <v>2797.84</v>
      </c>
      <c r="F2023" s="3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s="7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 s="5">
        <v>64</v>
      </c>
      <c r="C2024">
        <v>60.05</v>
      </c>
      <c r="D2024">
        <v>12</v>
      </c>
      <c r="E2024" s="5">
        <v>3843.2</v>
      </c>
      <c r="F2024" s="3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 s="7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 s="5">
        <v>18</v>
      </c>
      <c r="C2025">
        <v>75.06</v>
      </c>
      <c r="D2025">
        <v>13</v>
      </c>
      <c r="E2025" s="5">
        <v>1351.08</v>
      </c>
      <c r="F2025" s="3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s="7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 s="5">
        <v>49</v>
      </c>
      <c r="C2026">
        <v>34.47</v>
      </c>
      <c r="D2026">
        <v>1</v>
      </c>
      <c r="E2026" s="5">
        <v>1689.03</v>
      </c>
      <c r="F2026" s="3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 s="7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 s="5">
        <v>48</v>
      </c>
      <c r="C2027">
        <v>34.47</v>
      </c>
      <c r="D2027">
        <v>5</v>
      </c>
      <c r="E2027" s="5">
        <v>1654.56</v>
      </c>
      <c r="F2027" s="3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s="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 s="5">
        <v>46</v>
      </c>
      <c r="C2028">
        <v>33.229999999999997</v>
      </c>
      <c r="D2028">
        <v>4</v>
      </c>
      <c r="E2028" s="5">
        <v>1528.58</v>
      </c>
      <c r="F2028" s="3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 s="7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 s="5">
        <v>26</v>
      </c>
      <c r="C2029">
        <v>38.979999999999997</v>
      </c>
      <c r="D2029">
        <v>9</v>
      </c>
      <c r="E2029" s="5">
        <v>1013.48</v>
      </c>
      <c r="F2029" s="3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 s="7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 s="5">
        <v>37</v>
      </c>
      <c r="C2030">
        <v>38.979999999999997</v>
      </c>
      <c r="D2030">
        <v>7</v>
      </c>
      <c r="E2030" s="5">
        <v>1442.26</v>
      </c>
      <c r="F2030" s="3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 s="7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 s="5">
        <v>35</v>
      </c>
      <c r="C2031">
        <v>33.229999999999997</v>
      </c>
      <c r="D2031">
        <v>11</v>
      </c>
      <c r="E2031" s="5">
        <v>1163.05</v>
      </c>
      <c r="F2031" s="3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s="7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 s="5">
        <v>23</v>
      </c>
      <c r="C2032">
        <v>42.26</v>
      </c>
      <c r="D2032">
        <v>8</v>
      </c>
      <c r="E2032" s="5">
        <v>971.98</v>
      </c>
      <c r="F2032" s="3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 s="7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 s="5">
        <v>22</v>
      </c>
      <c r="C2033">
        <v>41.03</v>
      </c>
      <c r="D2033">
        <v>12</v>
      </c>
      <c r="E2033" s="5">
        <v>902.66</v>
      </c>
      <c r="F2033" s="3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s="7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 s="5">
        <v>39</v>
      </c>
      <c r="C2034">
        <v>33.229999999999997</v>
      </c>
      <c r="D2034">
        <v>2</v>
      </c>
      <c r="E2034" s="5">
        <v>1295.97</v>
      </c>
      <c r="F2034" s="3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 s="7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 s="5">
        <v>44</v>
      </c>
      <c r="C2035">
        <v>34.880000000000003</v>
      </c>
      <c r="D2035">
        <v>5</v>
      </c>
      <c r="E2035" s="5">
        <v>1534.72</v>
      </c>
      <c r="F2035" s="3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s="7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 s="5">
        <v>27</v>
      </c>
      <c r="C2036">
        <v>43.9</v>
      </c>
      <c r="D2036">
        <v>8</v>
      </c>
      <c r="E2036" s="5">
        <v>1185.3</v>
      </c>
      <c r="F2036" s="3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s="7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 s="5">
        <v>46</v>
      </c>
      <c r="C2037">
        <v>36.93</v>
      </c>
      <c r="D2037">
        <v>1</v>
      </c>
      <c r="E2037" s="5">
        <v>1698.78</v>
      </c>
      <c r="F2037" s="3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 s="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 s="5">
        <v>33</v>
      </c>
      <c r="C2038">
        <v>41.85</v>
      </c>
      <c r="D2038">
        <v>14</v>
      </c>
      <c r="E2038" s="5">
        <v>1381.05</v>
      </c>
      <c r="F2038" s="3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s="7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 s="5">
        <v>33</v>
      </c>
      <c r="C2039">
        <v>40.619999999999997</v>
      </c>
      <c r="D2039">
        <v>3</v>
      </c>
      <c r="E2039" s="5">
        <v>1340.46</v>
      </c>
      <c r="F2039" s="3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s="7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 s="5">
        <v>24</v>
      </c>
      <c r="C2040">
        <v>40.21</v>
      </c>
      <c r="D2040">
        <v>1</v>
      </c>
      <c r="E2040" s="5">
        <v>965.04</v>
      </c>
      <c r="F2040" s="3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s="7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 s="5">
        <v>31</v>
      </c>
      <c r="C2041">
        <v>35.29</v>
      </c>
      <c r="D2041">
        <v>15</v>
      </c>
      <c r="E2041" s="5">
        <v>1093.99</v>
      </c>
      <c r="F2041" s="3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 s="7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 s="5">
        <v>41</v>
      </c>
      <c r="C2042">
        <v>77.239999999999995</v>
      </c>
      <c r="D2042">
        <v>14</v>
      </c>
      <c r="E2042" s="5">
        <v>3166.84</v>
      </c>
      <c r="F2042" s="3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s="7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 s="5">
        <v>22</v>
      </c>
      <c r="C2043">
        <v>97.44</v>
      </c>
      <c r="D2043">
        <v>4</v>
      </c>
      <c r="E2043" s="5">
        <v>2143.6799999999998</v>
      </c>
      <c r="F2043" s="3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 s="7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 s="5">
        <v>46</v>
      </c>
      <c r="C2044">
        <v>37.340000000000003</v>
      </c>
      <c r="D2044">
        <v>3</v>
      </c>
      <c r="E2044" s="5">
        <v>1717.64</v>
      </c>
      <c r="F2044" s="3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 s="7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 s="5">
        <v>43</v>
      </c>
      <c r="C2045">
        <v>95.03</v>
      </c>
      <c r="D2045">
        <v>12</v>
      </c>
      <c r="E2045" s="5">
        <v>4086.29</v>
      </c>
      <c r="F2045" s="3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s="7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 s="5">
        <v>15</v>
      </c>
      <c r="C2046">
        <v>36.93</v>
      </c>
      <c r="D2046">
        <v>1</v>
      </c>
      <c r="E2046" s="5">
        <v>553.95000000000005</v>
      </c>
      <c r="F2046" s="3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s="7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 s="5">
        <v>15</v>
      </c>
      <c r="C2047">
        <v>43.49</v>
      </c>
      <c r="D2047">
        <v>3</v>
      </c>
      <c r="E2047" s="5">
        <v>652.35</v>
      </c>
      <c r="F2047" s="3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s="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 s="5">
        <v>26</v>
      </c>
      <c r="C2048">
        <v>100</v>
      </c>
      <c r="D2048">
        <v>5</v>
      </c>
      <c r="E2048" s="5">
        <v>2921.62</v>
      </c>
      <c r="F2048" s="3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s="7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 s="5">
        <v>44</v>
      </c>
      <c r="C2049">
        <v>100</v>
      </c>
      <c r="D2049">
        <v>1</v>
      </c>
      <c r="E2049" s="5">
        <v>5568.64</v>
      </c>
      <c r="F2049" s="3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 s="7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 s="5">
        <v>20</v>
      </c>
      <c r="C2050">
        <v>96.99</v>
      </c>
      <c r="D2050">
        <v>7</v>
      </c>
      <c r="E2050" s="5">
        <v>1939.8</v>
      </c>
      <c r="F2050" s="3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 s="7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 s="5">
        <v>40</v>
      </c>
      <c r="C2051">
        <v>94.62</v>
      </c>
      <c r="D2051">
        <v>1</v>
      </c>
      <c r="E2051" s="5">
        <v>3784.8</v>
      </c>
      <c r="F2051" s="3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s="7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 s="5">
        <v>23</v>
      </c>
      <c r="C2052">
        <v>100</v>
      </c>
      <c r="D2052">
        <v>3</v>
      </c>
      <c r="E2052" s="5">
        <v>2802.09</v>
      </c>
      <c r="F2052" s="3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s="7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 s="5">
        <v>24</v>
      </c>
      <c r="C2053">
        <v>99.36</v>
      </c>
      <c r="D2053">
        <v>8</v>
      </c>
      <c r="E2053" s="5">
        <v>2384.64</v>
      </c>
      <c r="F2053" s="3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s="7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 s="5">
        <v>29</v>
      </c>
      <c r="C2054">
        <v>100</v>
      </c>
      <c r="D2054">
        <v>7</v>
      </c>
      <c r="E2054" s="5">
        <v>2915.66</v>
      </c>
      <c r="F2054" s="3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s="7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 s="5">
        <v>49</v>
      </c>
      <c r="C2055">
        <v>100</v>
      </c>
      <c r="D2055">
        <v>2</v>
      </c>
      <c r="E2055" s="5">
        <v>5795.72</v>
      </c>
      <c r="F2055" s="3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s="7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 s="5">
        <v>34</v>
      </c>
      <c r="C2056">
        <v>100</v>
      </c>
      <c r="D2056">
        <v>2</v>
      </c>
      <c r="E2056" s="5">
        <v>3699.88</v>
      </c>
      <c r="F2056" s="3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 s="7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 s="5">
        <v>28</v>
      </c>
      <c r="C2057">
        <v>100</v>
      </c>
      <c r="D2057">
        <v>3</v>
      </c>
      <c r="E2057" s="5">
        <v>2980.6</v>
      </c>
      <c r="F2057" s="3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 s="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 s="5">
        <v>37</v>
      </c>
      <c r="C2058">
        <v>100</v>
      </c>
      <c r="D2058">
        <v>7</v>
      </c>
      <c r="E2058" s="5">
        <v>5032.74</v>
      </c>
      <c r="F2058" s="3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s="7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 s="5">
        <v>45</v>
      </c>
      <c r="C2059">
        <v>100</v>
      </c>
      <c r="D2059">
        <v>5</v>
      </c>
      <c r="E2059" s="5">
        <v>4737.1499999999996</v>
      </c>
      <c r="F2059" s="3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s="7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 s="5">
        <v>46</v>
      </c>
      <c r="C2060">
        <v>100</v>
      </c>
      <c r="D2060">
        <v>1</v>
      </c>
      <c r="E2060" s="5">
        <v>6311.2</v>
      </c>
      <c r="F2060" s="3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s="7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 s="5">
        <v>22</v>
      </c>
      <c r="C2061">
        <v>100</v>
      </c>
      <c r="D2061">
        <v>1</v>
      </c>
      <c r="E2061" s="5">
        <v>3070.54</v>
      </c>
      <c r="F2061" s="3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 s="7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 s="5">
        <v>39</v>
      </c>
      <c r="C2062">
        <v>100</v>
      </c>
      <c r="D2062">
        <v>10</v>
      </c>
      <c r="E2062" s="5">
        <v>4797.3900000000003</v>
      </c>
      <c r="F2062" s="3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 s="7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 s="5">
        <v>27</v>
      </c>
      <c r="C2063">
        <v>100</v>
      </c>
      <c r="D2063">
        <v>4</v>
      </c>
      <c r="E2063" s="5">
        <v>3832.38</v>
      </c>
      <c r="F2063" s="3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 s="7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 s="5">
        <v>36</v>
      </c>
      <c r="C2064">
        <v>100</v>
      </c>
      <c r="D2064">
        <v>1</v>
      </c>
      <c r="E2064" s="5">
        <v>4641.4799999999996</v>
      </c>
      <c r="F2064" s="3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 s="7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 s="5">
        <v>38</v>
      </c>
      <c r="C2065">
        <v>100</v>
      </c>
      <c r="D2065">
        <v>10</v>
      </c>
      <c r="E2065" s="5">
        <v>4000.26</v>
      </c>
      <c r="F2065" s="3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s="7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 s="5">
        <v>44</v>
      </c>
      <c r="C2066">
        <v>100</v>
      </c>
      <c r="D2066">
        <v>5</v>
      </c>
      <c r="E2066" s="5">
        <v>5325.76</v>
      </c>
      <c r="F2066" s="3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s="7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 s="5">
        <v>31</v>
      </c>
      <c r="C2067">
        <v>100</v>
      </c>
      <c r="D2067">
        <v>5</v>
      </c>
      <c r="E2067" s="5">
        <v>4618.6899999999996</v>
      </c>
      <c r="F2067" s="3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s="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 s="5">
        <v>23</v>
      </c>
      <c r="C2068">
        <v>100</v>
      </c>
      <c r="D2068">
        <v>2</v>
      </c>
      <c r="E2068" s="5">
        <v>3182.97</v>
      </c>
      <c r="F2068" s="3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 s="7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 s="5">
        <v>22</v>
      </c>
      <c r="C2069">
        <v>100</v>
      </c>
      <c r="D2069">
        <v>7</v>
      </c>
      <c r="E2069" s="5">
        <v>2603.04</v>
      </c>
      <c r="F2069" s="3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s="7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 s="5">
        <v>28</v>
      </c>
      <c r="C2070">
        <v>50.32</v>
      </c>
      <c r="D2070">
        <v>9</v>
      </c>
      <c r="E2070" s="5">
        <v>1408.96</v>
      </c>
      <c r="F2070" s="3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 s="7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 s="5">
        <v>21</v>
      </c>
      <c r="C2071">
        <v>93.91</v>
      </c>
      <c r="D2071">
        <v>4</v>
      </c>
      <c r="E2071" s="5">
        <v>1972.11</v>
      </c>
      <c r="F2071" s="3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s="7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 s="5">
        <v>37</v>
      </c>
      <c r="C2072">
        <v>100</v>
      </c>
      <c r="D2072">
        <v>7</v>
      </c>
      <c r="E2072" s="5">
        <v>5207.75</v>
      </c>
      <c r="F2072" s="3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s="7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 s="5">
        <v>31</v>
      </c>
      <c r="C2073">
        <v>100</v>
      </c>
      <c r="D2073">
        <v>1</v>
      </c>
      <c r="E2073" s="5">
        <v>4253.2</v>
      </c>
      <c r="F2073" s="3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s="7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 s="5">
        <v>25</v>
      </c>
      <c r="C2074">
        <v>100</v>
      </c>
      <c r="D2074">
        <v>15</v>
      </c>
      <c r="E2074" s="5">
        <v>2873</v>
      </c>
      <c r="F2074" s="3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s="7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 s="5">
        <v>26</v>
      </c>
      <c r="C2075">
        <v>86.68</v>
      </c>
      <c r="D2075">
        <v>3</v>
      </c>
      <c r="E2075" s="5">
        <v>2253.6799999999998</v>
      </c>
      <c r="F2075" s="3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 s="7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 s="5">
        <v>34</v>
      </c>
      <c r="C2076">
        <v>100</v>
      </c>
      <c r="D2076">
        <v>15</v>
      </c>
      <c r="E2076" s="5">
        <v>3576.12</v>
      </c>
      <c r="F2076" s="3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s="7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 s="5">
        <v>29</v>
      </c>
      <c r="C2077">
        <v>100</v>
      </c>
      <c r="D2077">
        <v>4</v>
      </c>
      <c r="E2077" s="5">
        <v>3276.13</v>
      </c>
      <c r="F2077" s="3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s="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 s="5">
        <v>20</v>
      </c>
      <c r="C2078">
        <v>90.57</v>
      </c>
      <c r="D2078">
        <v>1</v>
      </c>
      <c r="E2078" s="5">
        <v>1811.4</v>
      </c>
      <c r="F2078" s="3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 s="7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 s="5">
        <v>42</v>
      </c>
      <c r="C2079">
        <v>91.55</v>
      </c>
      <c r="D2079">
        <v>5</v>
      </c>
      <c r="E2079" s="5">
        <v>3845.1</v>
      </c>
      <c r="F2079" s="3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 s="7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 s="5">
        <v>22</v>
      </c>
      <c r="C2080">
        <v>100</v>
      </c>
      <c r="D2080">
        <v>3</v>
      </c>
      <c r="E2080" s="5">
        <v>2571.14</v>
      </c>
      <c r="F2080" s="3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s="7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 s="5">
        <v>47</v>
      </c>
      <c r="C2081">
        <v>100</v>
      </c>
      <c r="D2081">
        <v>12</v>
      </c>
      <c r="E2081" s="5">
        <v>5035.1099999999997</v>
      </c>
      <c r="F2081" s="3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 s="7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 s="5">
        <v>20</v>
      </c>
      <c r="C2082">
        <v>100</v>
      </c>
      <c r="D2082">
        <v>4</v>
      </c>
      <c r="E2082" s="5">
        <v>2279</v>
      </c>
      <c r="F2082" s="3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s="7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 s="5">
        <v>33</v>
      </c>
      <c r="C2083">
        <v>97.39</v>
      </c>
      <c r="D2083">
        <v>10</v>
      </c>
      <c r="E2083" s="5">
        <v>3213.87</v>
      </c>
      <c r="F2083" s="3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s="7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 s="5">
        <v>39</v>
      </c>
      <c r="C2084">
        <v>90.57</v>
      </c>
      <c r="D2084">
        <v>7</v>
      </c>
      <c r="E2084" s="5">
        <v>3532.23</v>
      </c>
      <c r="F2084" s="3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 s="7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 s="5">
        <v>33</v>
      </c>
      <c r="C2085">
        <v>100</v>
      </c>
      <c r="D2085">
        <v>6</v>
      </c>
      <c r="E2085" s="5">
        <v>3406.59</v>
      </c>
      <c r="F2085" s="3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 s="7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 s="5">
        <v>40</v>
      </c>
      <c r="C2086">
        <v>86.68</v>
      </c>
      <c r="D2086">
        <v>4</v>
      </c>
      <c r="E2086" s="5">
        <v>3467.2</v>
      </c>
      <c r="F2086" s="3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s="7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 s="5">
        <v>46</v>
      </c>
      <c r="C2087">
        <v>78.89</v>
      </c>
      <c r="D2087">
        <v>4</v>
      </c>
      <c r="E2087" s="5">
        <v>3628.94</v>
      </c>
      <c r="F2087" s="3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 s="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 s="5">
        <v>48</v>
      </c>
      <c r="C2088">
        <v>97.39</v>
      </c>
      <c r="D2088">
        <v>2</v>
      </c>
      <c r="E2088" s="5">
        <v>4674.72</v>
      </c>
      <c r="F2088" s="3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s="7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 s="5">
        <v>21</v>
      </c>
      <c r="C2089">
        <v>78.89</v>
      </c>
      <c r="D2089">
        <v>6</v>
      </c>
      <c r="E2089" s="5">
        <v>1656.69</v>
      </c>
      <c r="F2089" s="3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s="7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 s="5">
        <v>45</v>
      </c>
      <c r="C2090">
        <v>100</v>
      </c>
      <c r="D2090">
        <v>1</v>
      </c>
      <c r="E2090" s="5">
        <v>5171.3999999999996</v>
      </c>
      <c r="F2090" s="3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 s="7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 s="5">
        <v>33</v>
      </c>
      <c r="C2091">
        <v>100</v>
      </c>
      <c r="D2091">
        <v>10</v>
      </c>
      <c r="E2091" s="5">
        <v>3342.57</v>
      </c>
      <c r="F2091" s="3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s="7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 s="5">
        <v>44</v>
      </c>
      <c r="C2092">
        <v>100</v>
      </c>
      <c r="D2092">
        <v>7</v>
      </c>
      <c r="E2092" s="5">
        <v>4884.88</v>
      </c>
      <c r="F2092" s="3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 s="7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 s="5">
        <v>33</v>
      </c>
      <c r="C2093">
        <v>100</v>
      </c>
      <c r="D2093">
        <v>3</v>
      </c>
      <c r="E2093" s="5">
        <v>6267.69</v>
      </c>
      <c r="F2093" s="3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 s="7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 s="5">
        <v>39</v>
      </c>
      <c r="C2094">
        <v>100</v>
      </c>
      <c r="D2094">
        <v>1</v>
      </c>
      <c r="E2094" s="5">
        <v>4424.16</v>
      </c>
      <c r="F2094" s="3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 s="7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 s="5">
        <v>39</v>
      </c>
      <c r="C2095">
        <v>50.31</v>
      </c>
      <c r="D2095">
        <v>2</v>
      </c>
      <c r="E2095" s="5">
        <v>1962.09</v>
      </c>
      <c r="F2095" s="3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s="7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 s="5">
        <v>41</v>
      </c>
      <c r="C2096">
        <v>100</v>
      </c>
      <c r="D2096">
        <v>6</v>
      </c>
      <c r="E2096" s="5">
        <v>6847</v>
      </c>
      <c r="F2096" s="3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s="7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 s="5">
        <v>40</v>
      </c>
      <c r="C2097">
        <v>86.92</v>
      </c>
      <c r="D2097">
        <v>3</v>
      </c>
      <c r="E2097" s="5">
        <v>3476.8</v>
      </c>
      <c r="F2097" s="3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 s="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 s="5">
        <v>33</v>
      </c>
      <c r="C2098">
        <v>100</v>
      </c>
      <c r="D2098">
        <v>4</v>
      </c>
      <c r="E2098" s="5">
        <v>4592.6099999999997</v>
      </c>
      <c r="F2098" s="3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 s="7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 s="5">
        <v>28</v>
      </c>
      <c r="C2099">
        <v>78.89</v>
      </c>
      <c r="D2099">
        <v>4</v>
      </c>
      <c r="E2099" s="5">
        <v>2208.92</v>
      </c>
      <c r="F2099" s="3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s="7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 s="5">
        <v>26</v>
      </c>
      <c r="C2100">
        <v>63.76</v>
      </c>
      <c r="D2100">
        <v>3</v>
      </c>
      <c r="E2100" s="5">
        <v>1657.76</v>
      </c>
      <c r="F2100" s="3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s="7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 s="5">
        <v>29</v>
      </c>
      <c r="C2101">
        <v>85.49</v>
      </c>
      <c r="D2101">
        <v>9</v>
      </c>
      <c r="E2101" s="5">
        <v>2479.21</v>
      </c>
      <c r="F2101" s="3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s="7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 s="5">
        <v>46</v>
      </c>
      <c r="C2102">
        <v>77.52</v>
      </c>
      <c r="D2102">
        <v>4</v>
      </c>
      <c r="E2102" s="5">
        <v>3565.92</v>
      </c>
      <c r="F2102" s="3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s="7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 s="5">
        <v>33</v>
      </c>
      <c r="C2103">
        <v>84.77</v>
      </c>
      <c r="D2103">
        <v>15</v>
      </c>
      <c r="E2103" s="5">
        <v>2797.41</v>
      </c>
      <c r="F2103" s="3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 s="7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 s="5">
        <v>48</v>
      </c>
      <c r="C2104">
        <v>78.25</v>
      </c>
      <c r="D2104">
        <v>10</v>
      </c>
      <c r="E2104" s="5">
        <v>3756</v>
      </c>
      <c r="F2104" s="3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 s="7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 s="5">
        <v>40</v>
      </c>
      <c r="C2105">
        <v>71</v>
      </c>
      <c r="D2105">
        <v>8</v>
      </c>
      <c r="E2105" s="5">
        <v>2840</v>
      </c>
      <c r="F2105" s="3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s="7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 s="5">
        <v>23</v>
      </c>
      <c r="C2106">
        <v>74.62</v>
      </c>
      <c r="D2106">
        <v>10</v>
      </c>
      <c r="E2106" s="5">
        <v>1716.26</v>
      </c>
      <c r="F2106" s="3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s="7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 s="5">
        <v>40</v>
      </c>
      <c r="C2107">
        <v>81.14</v>
      </c>
      <c r="D2107">
        <v>4</v>
      </c>
      <c r="E2107" s="5">
        <v>3245.6</v>
      </c>
      <c r="F2107" s="3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s="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 s="5">
        <v>37</v>
      </c>
      <c r="C2108">
        <v>74.62</v>
      </c>
      <c r="D2108">
        <v>5</v>
      </c>
      <c r="E2108" s="5">
        <v>2760.94</v>
      </c>
      <c r="F2108" s="3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 s="7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 s="5">
        <v>24</v>
      </c>
      <c r="C2109">
        <v>75.349999999999994</v>
      </c>
      <c r="D2109">
        <v>11</v>
      </c>
      <c r="E2109" s="5">
        <v>1808.4</v>
      </c>
      <c r="F2109" s="3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 s="7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 s="5">
        <v>27</v>
      </c>
      <c r="C2110">
        <v>62.31</v>
      </c>
      <c r="D2110">
        <v>10</v>
      </c>
      <c r="E2110" s="5">
        <v>1682.37</v>
      </c>
      <c r="F2110" s="3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s="7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 s="5">
        <v>21</v>
      </c>
      <c r="C2111">
        <v>71</v>
      </c>
      <c r="D2111">
        <v>2</v>
      </c>
      <c r="E2111" s="5">
        <v>1491</v>
      </c>
      <c r="F2111" s="3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s="7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 s="5">
        <v>23</v>
      </c>
      <c r="C2112">
        <v>72.45</v>
      </c>
      <c r="D2112">
        <v>5</v>
      </c>
      <c r="E2112" s="5">
        <v>1666.35</v>
      </c>
      <c r="F2112" s="3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s="7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 s="5">
        <v>44</v>
      </c>
      <c r="C2113">
        <v>83.32</v>
      </c>
      <c r="D2113">
        <v>8</v>
      </c>
      <c r="E2113" s="5">
        <v>3666.08</v>
      </c>
      <c r="F2113" s="3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 s="7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 s="5">
        <v>35</v>
      </c>
      <c r="C2114">
        <v>83.32</v>
      </c>
      <c r="D2114">
        <v>1</v>
      </c>
      <c r="E2114" s="5">
        <v>2916.2</v>
      </c>
      <c r="F2114" s="3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 s="7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 s="5">
        <v>43</v>
      </c>
      <c r="C2115">
        <v>60.86</v>
      </c>
      <c r="D2115">
        <v>4</v>
      </c>
      <c r="E2115" s="5">
        <v>2616.98</v>
      </c>
      <c r="F2115" s="3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s="7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 s="5">
        <v>40</v>
      </c>
      <c r="C2116">
        <v>84.77</v>
      </c>
      <c r="D2116">
        <v>1</v>
      </c>
      <c r="E2116" s="5">
        <v>3390.8</v>
      </c>
      <c r="F2116" s="3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s="7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 s="5">
        <v>35</v>
      </c>
      <c r="C2117">
        <v>89.9</v>
      </c>
      <c r="D2117">
        <v>3</v>
      </c>
      <c r="E2117" s="5">
        <v>3146.5</v>
      </c>
      <c r="F2117" s="3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 s="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 s="5">
        <v>25</v>
      </c>
      <c r="C2118">
        <v>62.46</v>
      </c>
      <c r="D2118">
        <v>1</v>
      </c>
      <c r="E2118" s="5">
        <v>1561.5</v>
      </c>
      <c r="F2118" s="3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s="7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 s="5">
        <v>43</v>
      </c>
      <c r="C2119">
        <v>100</v>
      </c>
      <c r="D2119">
        <v>2</v>
      </c>
      <c r="E2119" s="5">
        <v>10039.6</v>
      </c>
      <c r="F2119" s="3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s="7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 s="5">
        <v>50</v>
      </c>
      <c r="C2120">
        <v>63.34</v>
      </c>
      <c r="D2120">
        <v>8</v>
      </c>
      <c r="E2120" s="5">
        <v>3167</v>
      </c>
      <c r="F2120" s="3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s="7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 s="5">
        <v>45</v>
      </c>
      <c r="C2121">
        <v>78.25</v>
      </c>
      <c r="D2121">
        <v>14</v>
      </c>
      <c r="E2121" s="5">
        <v>3521.25</v>
      </c>
      <c r="F2121" s="3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s="7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 s="5">
        <v>52</v>
      </c>
      <c r="C2122">
        <v>81.14</v>
      </c>
      <c r="D2122">
        <v>4</v>
      </c>
      <c r="E2122" s="5">
        <v>4219.28</v>
      </c>
      <c r="F2122" s="3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 s="7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 s="5">
        <v>48</v>
      </c>
      <c r="C2123">
        <v>74.62</v>
      </c>
      <c r="D2123">
        <v>5</v>
      </c>
      <c r="E2123" s="5">
        <v>3581.76</v>
      </c>
      <c r="F2123" s="3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s="7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 s="5">
        <v>31</v>
      </c>
      <c r="C2124">
        <v>68.709999999999994</v>
      </c>
      <c r="D2124">
        <v>10</v>
      </c>
      <c r="E2124" s="5">
        <v>2130.0100000000002</v>
      </c>
      <c r="F2124" s="3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s="7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 s="5">
        <v>29</v>
      </c>
      <c r="C2125">
        <v>71.14</v>
      </c>
      <c r="D2125">
        <v>14</v>
      </c>
      <c r="E2125" s="5">
        <v>2063.06</v>
      </c>
      <c r="F2125" s="3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s="7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 s="5">
        <v>23</v>
      </c>
      <c r="C2126">
        <v>87.31</v>
      </c>
      <c r="D2126">
        <v>11</v>
      </c>
      <c r="E2126" s="5">
        <v>2008.13</v>
      </c>
      <c r="F2126" s="3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 s="7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 s="5">
        <v>31</v>
      </c>
      <c r="C2127">
        <v>64.67</v>
      </c>
      <c r="D2127">
        <v>11</v>
      </c>
      <c r="E2127" s="5">
        <v>2004.77</v>
      </c>
      <c r="F2127" s="3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 s="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 s="5">
        <v>23</v>
      </c>
      <c r="C2128">
        <v>67.099999999999994</v>
      </c>
      <c r="D2128">
        <v>6</v>
      </c>
      <c r="E2128" s="5">
        <v>1543.3</v>
      </c>
      <c r="F2128" s="3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 s="7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 s="5">
        <v>24</v>
      </c>
      <c r="C2129">
        <v>94.58</v>
      </c>
      <c r="D2129">
        <v>6</v>
      </c>
      <c r="E2129" s="5">
        <v>2269.92</v>
      </c>
      <c r="F2129" s="3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s="7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 s="5">
        <v>28</v>
      </c>
      <c r="C2130">
        <v>71.14</v>
      </c>
      <c r="D2130">
        <v>1</v>
      </c>
      <c r="E2130" s="5">
        <v>1991.92</v>
      </c>
      <c r="F2130" s="3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s="7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 s="5">
        <v>44</v>
      </c>
      <c r="C2131">
        <v>66.290000000000006</v>
      </c>
      <c r="D2131">
        <v>7</v>
      </c>
      <c r="E2131" s="5">
        <v>2916.76</v>
      </c>
      <c r="F2131" s="3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s="7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 s="5">
        <v>22</v>
      </c>
      <c r="C2132">
        <v>92.16</v>
      </c>
      <c r="D2132">
        <v>6</v>
      </c>
      <c r="E2132" s="5">
        <v>2027.52</v>
      </c>
      <c r="F2132" s="3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s="7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 s="5">
        <v>46</v>
      </c>
      <c r="C2133">
        <v>70.33</v>
      </c>
      <c r="D2133">
        <v>13</v>
      </c>
      <c r="E2133" s="5">
        <v>3235.18</v>
      </c>
      <c r="F2133" s="3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s="7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 s="5">
        <v>22</v>
      </c>
      <c r="C2134">
        <v>93.77</v>
      </c>
      <c r="D2134">
        <v>7</v>
      </c>
      <c r="E2134" s="5">
        <v>2062.94</v>
      </c>
      <c r="F2134" s="3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s="7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 s="5">
        <v>38</v>
      </c>
      <c r="C2135">
        <v>87.31</v>
      </c>
      <c r="D2135">
        <v>3</v>
      </c>
      <c r="E2135" s="5">
        <v>3317.78</v>
      </c>
      <c r="F2135" s="3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s="7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 s="5">
        <v>47</v>
      </c>
      <c r="C2136">
        <v>83.27</v>
      </c>
      <c r="D2136">
        <v>1</v>
      </c>
      <c r="E2136" s="5">
        <v>3913.69</v>
      </c>
      <c r="F2136" s="3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 s="7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 s="5">
        <v>48</v>
      </c>
      <c r="C2137">
        <v>75.180000000000007</v>
      </c>
      <c r="D2137">
        <v>7</v>
      </c>
      <c r="E2137" s="5">
        <v>3608.64</v>
      </c>
      <c r="F2137" s="3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 s="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 s="5">
        <v>40</v>
      </c>
      <c r="C2138">
        <v>88.12</v>
      </c>
      <c r="D2138">
        <v>16</v>
      </c>
      <c r="E2138" s="5">
        <v>3524.8</v>
      </c>
      <c r="F2138" s="3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s="7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 s="5">
        <v>32</v>
      </c>
      <c r="C2139">
        <v>80.84</v>
      </c>
      <c r="D2139">
        <v>1</v>
      </c>
      <c r="E2139" s="5">
        <v>2586.88</v>
      </c>
      <c r="F2139" s="3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s="7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 s="5">
        <v>49</v>
      </c>
      <c r="C2140">
        <v>97.01</v>
      </c>
      <c r="D2140">
        <v>14</v>
      </c>
      <c r="E2140" s="5">
        <v>4753.49</v>
      </c>
      <c r="F2140" s="3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s="7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 s="5">
        <v>43</v>
      </c>
      <c r="C2141">
        <v>85.69</v>
      </c>
      <c r="D2141">
        <v>2</v>
      </c>
      <c r="E2141" s="5">
        <v>3684.67</v>
      </c>
      <c r="F2141" s="3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 s="7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 s="5">
        <v>41</v>
      </c>
      <c r="C2142">
        <v>100</v>
      </c>
      <c r="D2142">
        <v>2</v>
      </c>
      <c r="E2142" s="5">
        <v>5715.4</v>
      </c>
      <c r="F2142" s="3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 s="7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 s="5">
        <v>30</v>
      </c>
      <c r="C2143">
        <v>100</v>
      </c>
      <c r="D2143">
        <v>1</v>
      </c>
      <c r="E2143" s="5">
        <v>3098.7</v>
      </c>
      <c r="F2143" s="3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s="7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 s="5">
        <v>28</v>
      </c>
      <c r="C2144">
        <v>95.39</v>
      </c>
      <c r="D2144">
        <v>9</v>
      </c>
      <c r="E2144" s="5">
        <v>2670.92</v>
      </c>
      <c r="F2144" s="3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s="7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 s="5">
        <v>43</v>
      </c>
      <c r="C2145">
        <v>100</v>
      </c>
      <c r="D2145">
        <v>9</v>
      </c>
      <c r="E2145" s="5">
        <v>5154.41</v>
      </c>
      <c r="F2145" s="3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s="7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 s="5">
        <v>41</v>
      </c>
      <c r="C2146">
        <v>100</v>
      </c>
      <c r="D2146">
        <v>2</v>
      </c>
      <c r="E2146" s="5">
        <v>4894.17</v>
      </c>
      <c r="F2146" s="3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s="7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 s="5">
        <v>30</v>
      </c>
      <c r="C2147">
        <v>82.42</v>
      </c>
      <c r="D2147">
        <v>10</v>
      </c>
      <c r="E2147" s="5">
        <v>2472.6</v>
      </c>
      <c r="F2147" s="3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 s="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 s="5">
        <v>31</v>
      </c>
      <c r="C2148">
        <v>100</v>
      </c>
      <c r="D2148">
        <v>3</v>
      </c>
      <c r="E2148" s="5">
        <v>3224.31</v>
      </c>
      <c r="F2148" s="3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s="7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 s="5">
        <v>32</v>
      </c>
      <c r="C2149">
        <v>100</v>
      </c>
      <c r="D2149">
        <v>7</v>
      </c>
      <c r="E2149" s="5">
        <v>3667.52</v>
      </c>
      <c r="F2149" s="3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s="7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 s="5">
        <v>43</v>
      </c>
      <c r="C2150">
        <v>96.31</v>
      </c>
      <c r="D2150">
        <v>3</v>
      </c>
      <c r="E2150" s="5">
        <v>4141.33</v>
      </c>
      <c r="F2150" s="3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s="7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 s="5">
        <v>26</v>
      </c>
      <c r="C2151">
        <v>100</v>
      </c>
      <c r="D2151">
        <v>3</v>
      </c>
      <c r="E2151" s="5">
        <v>2829.58</v>
      </c>
      <c r="F2151" s="3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 s="7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 s="5">
        <v>27</v>
      </c>
      <c r="C2152">
        <v>100</v>
      </c>
      <c r="D2152">
        <v>10</v>
      </c>
      <c r="E2152" s="5">
        <v>3068.55</v>
      </c>
      <c r="F2152" s="3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s="7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 s="5">
        <v>24</v>
      </c>
      <c r="C2153">
        <v>100</v>
      </c>
      <c r="D2153">
        <v>1</v>
      </c>
      <c r="E2153" s="5">
        <v>2634.96</v>
      </c>
      <c r="F2153" s="3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s="7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 s="5">
        <v>22</v>
      </c>
      <c r="C2154">
        <v>100</v>
      </c>
      <c r="D2154">
        <v>8</v>
      </c>
      <c r="E2154" s="5">
        <v>2436.7199999999998</v>
      </c>
      <c r="F2154" s="3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s="7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 s="5">
        <v>46</v>
      </c>
      <c r="C2155">
        <v>100</v>
      </c>
      <c r="D2155">
        <v>13</v>
      </c>
      <c r="E2155" s="5">
        <v>4607.3599999999997</v>
      </c>
      <c r="F2155" s="3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s="7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 s="5">
        <v>37</v>
      </c>
      <c r="C2156">
        <v>97.27</v>
      </c>
      <c r="D2156">
        <v>3</v>
      </c>
      <c r="E2156" s="5">
        <v>3598.99</v>
      </c>
      <c r="F2156" s="3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s="7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 s="5">
        <v>49</v>
      </c>
      <c r="C2157">
        <v>80.900000000000006</v>
      </c>
      <c r="D2157">
        <v>14</v>
      </c>
      <c r="E2157" s="5">
        <v>3964.1</v>
      </c>
      <c r="F2157" s="3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 s="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 s="5">
        <v>21</v>
      </c>
      <c r="C2158">
        <v>100</v>
      </c>
      <c r="D2158">
        <v>3</v>
      </c>
      <c r="E2158" s="5">
        <v>2244.9</v>
      </c>
      <c r="F2158" s="3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s="7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 s="5">
        <v>25</v>
      </c>
      <c r="C2159">
        <v>100</v>
      </c>
      <c r="D2159">
        <v>8</v>
      </c>
      <c r="E2159" s="5">
        <v>2793</v>
      </c>
      <c r="F2159" s="3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 s="7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 s="5">
        <v>37</v>
      </c>
      <c r="C2160">
        <v>100</v>
      </c>
      <c r="D2160">
        <v>1</v>
      </c>
      <c r="E2160" s="5">
        <v>4133.6400000000003</v>
      </c>
      <c r="F2160" s="3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 s="7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 s="5">
        <v>45</v>
      </c>
      <c r="C2161">
        <v>86.68</v>
      </c>
      <c r="D2161">
        <v>11</v>
      </c>
      <c r="E2161" s="5">
        <v>3900.6</v>
      </c>
      <c r="F2161" s="3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s="7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 s="5">
        <v>32</v>
      </c>
      <c r="C2162">
        <v>85.72</v>
      </c>
      <c r="D2162">
        <v>1</v>
      </c>
      <c r="E2162" s="5">
        <v>2743.04</v>
      </c>
      <c r="F2162" s="3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s="7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 s="5">
        <v>29</v>
      </c>
      <c r="C2163">
        <v>82.83</v>
      </c>
      <c r="D2163">
        <v>8</v>
      </c>
      <c r="E2163" s="5">
        <v>2402.0700000000002</v>
      </c>
      <c r="F2163" s="3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 s="7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 s="5">
        <v>26</v>
      </c>
      <c r="C2164">
        <v>83.79</v>
      </c>
      <c r="D2164">
        <v>3</v>
      </c>
      <c r="E2164" s="5">
        <v>2178.54</v>
      </c>
      <c r="F2164" s="3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s="7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 s="5">
        <v>28</v>
      </c>
      <c r="C2165">
        <v>100</v>
      </c>
      <c r="D2165">
        <v>12</v>
      </c>
      <c r="E2165" s="5">
        <v>3155.04</v>
      </c>
      <c r="F2165" s="3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 s="7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 s="5">
        <v>27</v>
      </c>
      <c r="C2166">
        <v>87.64</v>
      </c>
      <c r="D2166">
        <v>6</v>
      </c>
      <c r="E2166" s="5">
        <v>2366.2800000000002</v>
      </c>
      <c r="F2166" s="3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s="7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 s="5">
        <v>20</v>
      </c>
      <c r="C2167">
        <v>98.18</v>
      </c>
      <c r="D2167">
        <v>11</v>
      </c>
      <c r="E2167" s="5">
        <v>1963.6</v>
      </c>
      <c r="F2167" s="3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 s="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 s="5">
        <v>44</v>
      </c>
      <c r="C2168">
        <v>100</v>
      </c>
      <c r="D2168">
        <v>1</v>
      </c>
      <c r="E2168" s="5">
        <v>4746.28</v>
      </c>
      <c r="F2168" s="3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 s="7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 s="5">
        <v>42</v>
      </c>
      <c r="C2169">
        <v>100</v>
      </c>
      <c r="D2169">
        <v>3</v>
      </c>
      <c r="E2169" s="5">
        <v>6386.94</v>
      </c>
      <c r="F2169" s="3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s="7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 s="5">
        <v>41</v>
      </c>
      <c r="C2170">
        <v>100</v>
      </c>
      <c r="D2170">
        <v>1</v>
      </c>
      <c r="E2170" s="5">
        <v>4428</v>
      </c>
      <c r="F2170" s="3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s="7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 s="5">
        <v>26</v>
      </c>
      <c r="C2171">
        <v>100</v>
      </c>
      <c r="D2171">
        <v>1</v>
      </c>
      <c r="E2171" s="5">
        <v>4044.04</v>
      </c>
      <c r="F2171" s="3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 s="7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 s="5">
        <v>26</v>
      </c>
      <c r="C2172">
        <v>100</v>
      </c>
      <c r="D2172">
        <v>6</v>
      </c>
      <c r="E2172" s="5">
        <v>2708.42</v>
      </c>
      <c r="F2172" s="3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 s="7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 s="5">
        <v>26</v>
      </c>
      <c r="C2173">
        <v>100</v>
      </c>
      <c r="D2173">
        <v>1</v>
      </c>
      <c r="E2173" s="5">
        <v>2904.72</v>
      </c>
      <c r="F2173" s="3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s="7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 s="5">
        <v>41</v>
      </c>
      <c r="C2174">
        <v>86.68</v>
      </c>
      <c r="D2174">
        <v>11</v>
      </c>
      <c r="E2174" s="5">
        <v>3553.88</v>
      </c>
      <c r="F2174" s="3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s="7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 s="5">
        <v>20</v>
      </c>
      <c r="C2175">
        <v>92.9</v>
      </c>
      <c r="D2175">
        <v>8</v>
      </c>
      <c r="E2175" s="5">
        <v>1858</v>
      </c>
      <c r="F2175" s="3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 s="7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 s="5">
        <v>22</v>
      </c>
      <c r="C2176">
        <v>100</v>
      </c>
      <c r="D2176">
        <v>6</v>
      </c>
      <c r="E2176" s="5">
        <v>2461.36</v>
      </c>
      <c r="F2176" s="3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s="7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 s="5">
        <v>23</v>
      </c>
      <c r="C2177">
        <v>100</v>
      </c>
      <c r="D2177">
        <v>1</v>
      </c>
      <c r="E2177" s="5">
        <v>2642.01</v>
      </c>
      <c r="F2177" s="3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s="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 s="5">
        <v>33</v>
      </c>
      <c r="C2178">
        <v>93.9</v>
      </c>
      <c r="D2178">
        <v>12</v>
      </c>
      <c r="E2178" s="5">
        <v>3098.7</v>
      </c>
      <c r="F2178" s="3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 s="7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 s="5">
        <v>28</v>
      </c>
      <c r="C2179">
        <v>100</v>
      </c>
      <c r="D2179">
        <v>7</v>
      </c>
      <c r="E2179" s="5">
        <v>3244.36</v>
      </c>
      <c r="F2179" s="3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 s="7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 s="5">
        <v>44</v>
      </c>
      <c r="C2180">
        <v>98.89</v>
      </c>
      <c r="D2180">
        <v>7</v>
      </c>
      <c r="E2180" s="5">
        <v>4351.16</v>
      </c>
      <c r="F2180" s="3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s="7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 s="5">
        <v>46</v>
      </c>
      <c r="C2181">
        <v>79.91</v>
      </c>
      <c r="D2181">
        <v>5</v>
      </c>
      <c r="E2181" s="5">
        <v>3675.86</v>
      </c>
      <c r="F2181" s="3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s="7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 s="5">
        <v>21</v>
      </c>
      <c r="C2182">
        <v>100</v>
      </c>
      <c r="D2182">
        <v>7</v>
      </c>
      <c r="E2182" s="5">
        <v>2475.27</v>
      </c>
      <c r="F2182" s="3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s="7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 s="5">
        <v>41</v>
      </c>
      <c r="C2183">
        <v>100</v>
      </c>
      <c r="D2183">
        <v>1</v>
      </c>
      <c r="E2183" s="5">
        <v>4177.49</v>
      </c>
      <c r="F2183" s="3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s="7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 s="5">
        <v>31</v>
      </c>
      <c r="C2184">
        <v>100</v>
      </c>
      <c r="D2184">
        <v>2</v>
      </c>
      <c r="E2184" s="5">
        <v>3282.28</v>
      </c>
      <c r="F2184" s="3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 s="7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 s="5">
        <v>31</v>
      </c>
      <c r="C2185">
        <v>79.91</v>
      </c>
      <c r="D2185">
        <v>8</v>
      </c>
      <c r="E2185" s="5">
        <v>2477.21</v>
      </c>
      <c r="F2185" s="3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 s="7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 s="5">
        <v>23</v>
      </c>
      <c r="C2186">
        <v>81.91</v>
      </c>
      <c r="D2186">
        <v>7</v>
      </c>
      <c r="E2186" s="5">
        <v>1883.93</v>
      </c>
      <c r="F2186" s="3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s="7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 s="5">
        <v>37</v>
      </c>
      <c r="C2187">
        <v>98.89</v>
      </c>
      <c r="D2187">
        <v>12</v>
      </c>
      <c r="E2187" s="5">
        <v>3658.93</v>
      </c>
      <c r="F2187" s="3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 s="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 s="5">
        <v>26</v>
      </c>
      <c r="C2188">
        <v>100</v>
      </c>
      <c r="D2188">
        <v>2</v>
      </c>
      <c r="E2188" s="5">
        <v>2856.88</v>
      </c>
      <c r="F2188" s="3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s="7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 s="5">
        <v>24</v>
      </c>
      <c r="C2189">
        <v>79.91</v>
      </c>
      <c r="D2189">
        <v>5</v>
      </c>
      <c r="E2189" s="5">
        <v>1917.84</v>
      </c>
      <c r="F2189" s="3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 s="7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 s="5">
        <v>47</v>
      </c>
      <c r="C2190">
        <v>100</v>
      </c>
      <c r="D2190">
        <v>7</v>
      </c>
      <c r="E2190" s="5">
        <v>5305.36</v>
      </c>
      <c r="F2190" s="3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 s="7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 s="5">
        <v>45</v>
      </c>
      <c r="C2191">
        <v>63.91</v>
      </c>
      <c r="D2191">
        <v>11</v>
      </c>
      <c r="E2191" s="5">
        <v>2875.95</v>
      </c>
      <c r="F2191" s="3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 s="7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 s="5">
        <v>55</v>
      </c>
      <c r="C2192">
        <v>100</v>
      </c>
      <c r="D2192">
        <v>2</v>
      </c>
      <c r="E2192" s="5">
        <v>6482.85</v>
      </c>
      <c r="F2192" s="3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s="7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 s="5">
        <v>46</v>
      </c>
      <c r="C2193">
        <v>81.17</v>
      </c>
      <c r="D2193">
        <v>5</v>
      </c>
      <c r="E2193" s="5">
        <v>3733.82</v>
      </c>
      <c r="F2193" s="3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 s="7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 s="5">
        <v>50</v>
      </c>
      <c r="C2194">
        <v>100</v>
      </c>
      <c r="D2194">
        <v>2</v>
      </c>
      <c r="E2194" s="5">
        <v>6576.5</v>
      </c>
      <c r="F2194" s="3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s="7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 s="5">
        <v>37</v>
      </c>
      <c r="C2195">
        <v>100</v>
      </c>
      <c r="D2195">
        <v>3</v>
      </c>
      <c r="E2195" s="5">
        <v>6353.27</v>
      </c>
      <c r="F2195" s="3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s="7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 s="5">
        <v>44</v>
      </c>
      <c r="C2196">
        <v>94.9</v>
      </c>
      <c r="D2196">
        <v>1</v>
      </c>
      <c r="E2196" s="5">
        <v>4175.6000000000004</v>
      </c>
      <c r="F2196" s="3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s="7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 s="5">
        <v>49</v>
      </c>
      <c r="C2197">
        <v>100</v>
      </c>
      <c r="D2197">
        <v>1</v>
      </c>
      <c r="E2197" s="5">
        <v>4992.6099999999997</v>
      </c>
      <c r="F2197" s="3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 s="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 s="5">
        <v>45</v>
      </c>
      <c r="C2198">
        <v>100</v>
      </c>
      <c r="D2198">
        <v>2</v>
      </c>
      <c r="E2198" s="5">
        <v>4764.6000000000004</v>
      </c>
      <c r="F2198" s="3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s="7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 s="5">
        <v>27</v>
      </c>
      <c r="C2199">
        <v>43.45</v>
      </c>
      <c r="D2199">
        <v>13</v>
      </c>
      <c r="E2199" s="5">
        <v>1173.1500000000001</v>
      </c>
      <c r="F2199" s="3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s="7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 s="5">
        <v>31</v>
      </c>
      <c r="C2200">
        <v>44.66</v>
      </c>
      <c r="D2200">
        <v>17</v>
      </c>
      <c r="E2200" s="5">
        <v>1384.46</v>
      </c>
      <c r="F2200" s="3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s="7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 s="5">
        <v>33</v>
      </c>
      <c r="C2201">
        <v>40.229999999999997</v>
      </c>
      <c r="D2201">
        <v>14</v>
      </c>
      <c r="E2201" s="5">
        <v>1327.59</v>
      </c>
      <c r="F2201" s="3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 s="7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 s="5">
        <v>31</v>
      </c>
      <c r="C2202">
        <v>35.799999999999997</v>
      </c>
      <c r="D2202">
        <v>1</v>
      </c>
      <c r="E2202" s="5">
        <v>1109.8</v>
      </c>
      <c r="F2202" s="3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 s="7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 s="5">
        <v>35</v>
      </c>
      <c r="C2203">
        <v>35.4</v>
      </c>
      <c r="D2203">
        <v>9</v>
      </c>
      <c r="E2203" s="5">
        <v>1239</v>
      </c>
      <c r="F2203" s="3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 s="7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 s="5">
        <v>26</v>
      </c>
      <c r="C2204">
        <v>39.83</v>
      </c>
      <c r="D2204">
        <v>9</v>
      </c>
      <c r="E2204" s="5">
        <v>1035.58</v>
      </c>
      <c r="F2204" s="3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s="7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 s="5">
        <v>34</v>
      </c>
      <c r="C2205">
        <v>45.46</v>
      </c>
      <c r="D2205">
        <v>4</v>
      </c>
      <c r="E2205" s="5">
        <v>1545.64</v>
      </c>
      <c r="F2205" s="3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s="7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 s="5">
        <v>46</v>
      </c>
      <c r="C2206">
        <v>32.99</v>
      </c>
      <c r="D2206">
        <v>1</v>
      </c>
      <c r="E2206" s="5">
        <v>1517.54</v>
      </c>
      <c r="F2206" s="3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s="7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 s="5">
        <v>41</v>
      </c>
      <c r="C2207">
        <v>42.24</v>
      </c>
      <c r="D2207">
        <v>9</v>
      </c>
      <c r="E2207" s="5">
        <v>1731.84</v>
      </c>
      <c r="F2207" s="3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s="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 s="5">
        <v>43</v>
      </c>
      <c r="C2208">
        <v>39.43</v>
      </c>
      <c r="D2208">
        <v>2</v>
      </c>
      <c r="E2208" s="5">
        <v>1695.49</v>
      </c>
      <c r="F2208" s="3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s="7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 s="5">
        <v>26</v>
      </c>
      <c r="C2209">
        <v>40.229999999999997</v>
      </c>
      <c r="D2209">
        <v>2</v>
      </c>
      <c r="E2209" s="5">
        <v>1045.98</v>
      </c>
      <c r="F2209" s="3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 s="7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 s="5">
        <v>36</v>
      </c>
      <c r="C2210">
        <v>48.28</v>
      </c>
      <c r="D2210">
        <v>6</v>
      </c>
      <c r="E2210" s="5">
        <v>1738.08</v>
      </c>
      <c r="F2210" s="3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s="7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 s="5">
        <v>20</v>
      </c>
      <c r="C2211">
        <v>32.590000000000003</v>
      </c>
      <c r="D2211">
        <v>4</v>
      </c>
      <c r="E2211" s="5">
        <v>651.79999999999995</v>
      </c>
      <c r="F2211" s="3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 s="7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 s="5">
        <v>27</v>
      </c>
      <c r="C2212">
        <v>36.61</v>
      </c>
      <c r="D2212">
        <v>10</v>
      </c>
      <c r="E2212" s="5">
        <v>988.47</v>
      </c>
      <c r="F2212" s="3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 s="7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 s="5">
        <v>37</v>
      </c>
      <c r="C2213">
        <v>41.03</v>
      </c>
      <c r="D2213">
        <v>1</v>
      </c>
      <c r="E2213" s="5">
        <v>1518.11</v>
      </c>
      <c r="F2213" s="3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 s="7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 s="5">
        <v>24</v>
      </c>
      <c r="C2214">
        <v>42.24</v>
      </c>
      <c r="D2214">
        <v>4</v>
      </c>
      <c r="E2214" s="5">
        <v>1013.76</v>
      </c>
      <c r="F2214" s="3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s="7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 s="5">
        <v>36</v>
      </c>
      <c r="C2215">
        <v>43.05</v>
      </c>
      <c r="D2215">
        <v>17</v>
      </c>
      <c r="E2215" s="5">
        <v>1549.8</v>
      </c>
      <c r="F2215" s="3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s="7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 s="5">
        <v>29</v>
      </c>
      <c r="C2216">
        <v>38.22</v>
      </c>
      <c r="D2216">
        <v>5</v>
      </c>
      <c r="E2216" s="5">
        <v>1108.3800000000001</v>
      </c>
      <c r="F2216" s="3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 s="7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 s="5">
        <v>28</v>
      </c>
      <c r="C2217">
        <v>100</v>
      </c>
      <c r="D2217">
        <v>3</v>
      </c>
      <c r="E2217" s="5">
        <v>4102.5600000000004</v>
      </c>
      <c r="F2217" s="3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 s="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 s="5">
        <v>29</v>
      </c>
      <c r="C2218">
        <v>100</v>
      </c>
      <c r="D2218">
        <v>5</v>
      </c>
      <c r="E2218" s="5">
        <v>3713.16</v>
      </c>
      <c r="F2218" s="3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s="7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 s="5">
        <v>38</v>
      </c>
      <c r="C2219">
        <v>39.83</v>
      </c>
      <c r="D2219">
        <v>10</v>
      </c>
      <c r="E2219" s="5">
        <v>1513.54</v>
      </c>
      <c r="F2219" s="3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s="7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 s="5">
        <v>48</v>
      </c>
      <c r="C2220">
        <v>48.28</v>
      </c>
      <c r="D2220">
        <v>1</v>
      </c>
      <c r="E2220" s="5">
        <v>2317.44</v>
      </c>
      <c r="F2220" s="3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s="7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 s="5">
        <v>40</v>
      </c>
      <c r="C2221">
        <v>82.46</v>
      </c>
      <c r="D2221">
        <v>1</v>
      </c>
      <c r="E2221" s="5">
        <v>3298.4</v>
      </c>
      <c r="F2221" s="3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s="7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 s="5">
        <v>41</v>
      </c>
      <c r="C2222">
        <v>44.56</v>
      </c>
      <c r="D2222">
        <v>11</v>
      </c>
      <c r="E2222" s="5">
        <v>1826.96</v>
      </c>
      <c r="F2222" s="3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 s="7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 s="5">
        <v>30</v>
      </c>
      <c r="C2223">
        <v>40.229999999999997</v>
      </c>
      <c r="D2223">
        <v>2</v>
      </c>
      <c r="E2223" s="5">
        <v>1206.9000000000001</v>
      </c>
      <c r="F2223" s="3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s="7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 s="5">
        <v>35</v>
      </c>
      <c r="C2224">
        <v>47.62</v>
      </c>
      <c r="D2224">
        <v>11</v>
      </c>
      <c r="E2224" s="5">
        <v>1666.7</v>
      </c>
      <c r="F2224" s="3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s="7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 s="5">
        <v>28</v>
      </c>
      <c r="C2225">
        <v>55.73</v>
      </c>
      <c r="D2225">
        <v>2</v>
      </c>
      <c r="E2225" s="5">
        <v>1560.44</v>
      </c>
      <c r="F2225" s="3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s="7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 s="5">
        <v>45</v>
      </c>
      <c r="C2226">
        <v>51.95</v>
      </c>
      <c r="D2226">
        <v>13</v>
      </c>
      <c r="E2226" s="5">
        <v>2337.75</v>
      </c>
      <c r="F2226" s="3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 s="7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 s="5">
        <v>24</v>
      </c>
      <c r="C2227">
        <v>45.99</v>
      </c>
      <c r="D2227">
        <v>7</v>
      </c>
      <c r="E2227" s="5">
        <v>1103.76</v>
      </c>
      <c r="F2227" s="3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s="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 s="5">
        <v>41</v>
      </c>
      <c r="C2228">
        <v>63.85</v>
      </c>
      <c r="D2228">
        <v>5</v>
      </c>
      <c r="E2228" s="5">
        <v>2617.85</v>
      </c>
      <c r="F2228" s="3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s="7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 s="5">
        <v>48</v>
      </c>
      <c r="C2229">
        <v>45.99</v>
      </c>
      <c r="D2229">
        <v>14</v>
      </c>
      <c r="E2229" s="5">
        <v>2207.52</v>
      </c>
      <c r="F2229" s="3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s="7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 s="5">
        <v>50</v>
      </c>
      <c r="C2230">
        <v>63.31</v>
      </c>
      <c r="D2230">
        <v>3</v>
      </c>
      <c r="E2230" s="5">
        <v>3165.5</v>
      </c>
      <c r="F2230" s="3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s="7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 s="5">
        <v>33</v>
      </c>
      <c r="C2231">
        <v>62.77</v>
      </c>
      <c r="D2231">
        <v>8</v>
      </c>
      <c r="E2231" s="5">
        <v>2071.41</v>
      </c>
      <c r="F2231" s="3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s="7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 s="5">
        <v>32</v>
      </c>
      <c r="C2232">
        <v>43.29</v>
      </c>
      <c r="D2232">
        <v>8</v>
      </c>
      <c r="E2232" s="5">
        <v>1385.28</v>
      </c>
      <c r="F2232" s="3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 s="7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 s="5">
        <v>27</v>
      </c>
      <c r="C2233">
        <v>60.06</v>
      </c>
      <c r="D2233">
        <v>9</v>
      </c>
      <c r="E2233" s="5">
        <v>1621.62</v>
      </c>
      <c r="F2233" s="3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 s="7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 s="5">
        <v>35</v>
      </c>
      <c r="C2234">
        <v>55.19</v>
      </c>
      <c r="D2234">
        <v>4</v>
      </c>
      <c r="E2234" s="5">
        <v>1931.65</v>
      </c>
      <c r="F2234" s="3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 s="7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 s="5">
        <v>23</v>
      </c>
      <c r="C2235">
        <v>54.11</v>
      </c>
      <c r="D2235">
        <v>3</v>
      </c>
      <c r="E2235" s="5">
        <v>1244.53</v>
      </c>
      <c r="F2235" s="3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 s="7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 s="5">
        <v>35</v>
      </c>
      <c r="C2236">
        <v>48.7</v>
      </c>
      <c r="D2236">
        <v>7</v>
      </c>
      <c r="E2236" s="5">
        <v>1704.5</v>
      </c>
      <c r="F2236" s="3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s="7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 s="5">
        <v>40</v>
      </c>
      <c r="C2237">
        <v>43.83</v>
      </c>
      <c r="D2237">
        <v>6</v>
      </c>
      <c r="E2237" s="5">
        <v>1753.2</v>
      </c>
      <c r="F2237" s="3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s="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 s="5">
        <v>35</v>
      </c>
      <c r="C2238">
        <v>47.62</v>
      </c>
      <c r="D2238">
        <v>7</v>
      </c>
      <c r="E2238" s="5">
        <v>1666.7</v>
      </c>
      <c r="F2238" s="3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 s="7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 s="5">
        <v>31</v>
      </c>
      <c r="C2239">
        <v>55.19</v>
      </c>
      <c r="D2239">
        <v>3</v>
      </c>
      <c r="E2239" s="5">
        <v>1710.89</v>
      </c>
      <c r="F2239" s="3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 s="7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 s="5">
        <v>50</v>
      </c>
      <c r="C2240">
        <v>46.53</v>
      </c>
      <c r="D2240">
        <v>10</v>
      </c>
      <c r="E2240" s="5">
        <v>2326.5</v>
      </c>
      <c r="F2240" s="3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 s="7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 s="5">
        <v>40</v>
      </c>
      <c r="C2241">
        <v>57.9</v>
      </c>
      <c r="D2241">
        <v>7</v>
      </c>
      <c r="E2241" s="5">
        <v>2316</v>
      </c>
      <c r="F2241" s="3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 s="7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 s="5">
        <v>38</v>
      </c>
      <c r="C2242">
        <v>45.45</v>
      </c>
      <c r="D2242">
        <v>1</v>
      </c>
      <c r="E2242" s="5">
        <v>1727.1</v>
      </c>
      <c r="F2242" s="3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s="7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 s="5">
        <v>38</v>
      </c>
      <c r="C2243">
        <v>100</v>
      </c>
      <c r="D2243">
        <v>3</v>
      </c>
      <c r="E2243" s="5">
        <v>8844.1200000000008</v>
      </c>
      <c r="F2243" s="3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s="7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 s="5">
        <v>40</v>
      </c>
      <c r="C2244">
        <v>60.6</v>
      </c>
      <c r="D2244">
        <v>3</v>
      </c>
      <c r="E2244" s="5">
        <v>2424</v>
      </c>
      <c r="F2244" s="3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 s="7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 s="5">
        <v>33</v>
      </c>
      <c r="C2245">
        <v>46.53</v>
      </c>
      <c r="D2245">
        <v>1</v>
      </c>
      <c r="E2245" s="5">
        <v>1535.49</v>
      </c>
      <c r="F2245" s="3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 s="7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 s="5">
        <v>36</v>
      </c>
      <c r="C2246">
        <v>100</v>
      </c>
      <c r="D2246">
        <v>3</v>
      </c>
      <c r="E2246" s="5">
        <v>6358.68</v>
      </c>
      <c r="F2246" s="3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s="7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 s="5">
        <v>20</v>
      </c>
      <c r="C2247">
        <v>66.47</v>
      </c>
      <c r="D2247">
        <v>2</v>
      </c>
      <c r="E2247" s="5">
        <v>1329.4</v>
      </c>
      <c r="F2247" s="3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 s="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 s="5">
        <v>32</v>
      </c>
      <c r="C2248">
        <v>53.18</v>
      </c>
      <c r="D2248">
        <v>5</v>
      </c>
      <c r="E2248" s="5">
        <v>1701.76</v>
      </c>
      <c r="F2248" s="3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s="7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 s="5">
        <v>36</v>
      </c>
      <c r="C2249">
        <v>62.77</v>
      </c>
      <c r="D2249">
        <v>3</v>
      </c>
      <c r="E2249" s="5">
        <v>2259.7199999999998</v>
      </c>
      <c r="F2249" s="3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s="7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 s="5">
        <v>19</v>
      </c>
      <c r="C2250">
        <v>48.7</v>
      </c>
      <c r="D2250">
        <v>7</v>
      </c>
      <c r="E2250" s="5">
        <v>925.3</v>
      </c>
      <c r="F2250" s="3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s="7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 s="5">
        <v>11</v>
      </c>
      <c r="C2251">
        <v>43.83</v>
      </c>
      <c r="D2251">
        <v>6</v>
      </c>
      <c r="E2251" s="5">
        <v>482.13</v>
      </c>
      <c r="F2251" s="3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s="7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 s="5">
        <v>49</v>
      </c>
      <c r="C2252">
        <v>65.87</v>
      </c>
      <c r="D2252">
        <v>4</v>
      </c>
      <c r="E2252" s="5">
        <v>3227.63</v>
      </c>
      <c r="F2252" s="3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s="7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 s="5">
        <v>27</v>
      </c>
      <c r="C2253">
        <v>63.38</v>
      </c>
      <c r="D2253">
        <v>1</v>
      </c>
      <c r="E2253" s="5">
        <v>1711.26</v>
      </c>
      <c r="F2253" s="3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s="7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 s="5">
        <v>29</v>
      </c>
      <c r="C2254">
        <v>70.84</v>
      </c>
      <c r="D2254">
        <v>6</v>
      </c>
      <c r="E2254" s="5">
        <v>2054.36</v>
      </c>
      <c r="F2254" s="3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 s="7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 s="5">
        <v>42</v>
      </c>
      <c r="C2255">
        <v>74.569999999999993</v>
      </c>
      <c r="D2255">
        <v>16</v>
      </c>
      <c r="E2255" s="5">
        <v>3131.94</v>
      </c>
      <c r="F2255" s="3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 s="7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 s="5">
        <v>33</v>
      </c>
      <c r="C2256">
        <v>50.95</v>
      </c>
      <c r="D2256">
        <v>2</v>
      </c>
      <c r="E2256" s="5">
        <v>1681.35</v>
      </c>
      <c r="F2256" s="3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s="7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 s="5">
        <v>44</v>
      </c>
      <c r="C2257">
        <v>53.44</v>
      </c>
      <c r="D2257">
        <v>7</v>
      </c>
      <c r="E2257" s="5">
        <v>2351.36</v>
      </c>
      <c r="F2257" s="3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s="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 s="5">
        <v>22</v>
      </c>
      <c r="C2258">
        <v>64</v>
      </c>
      <c r="D2258">
        <v>6</v>
      </c>
      <c r="E2258" s="5">
        <v>1408</v>
      </c>
      <c r="F2258" s="3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s="7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 s="5">
        <v>48</v>
      </c>
      <c r="C2259">
        <v>50.95</v>
      </c>
      <c r="D2259">
        <v>1</v>
      </c>
      <c r="E2259" s="5">
        <v>2445.6</v>
      </c>
      <c r="F2259" s="3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s="7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 s="5">
        <v>33</v>
      </c>
      <c r="C2260">
        <v>54.68</v>
      </c>
      <c r="D2260">
        <v>1</v>
      </c>
      <c r="E2260" s="5">
        <v>1804.44</v>
      </c>
      <c r="F2260" s="3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 s="7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 s="5">
        <v>45</v>
      </c>
      <c r="C2261">
        <v>56.55</v>
      </c>
      <c r="D2261">
        <v>2</v>
      </c>
      <c r="E2261" s="5">
        <v>2544.75</v>
      </c>
      <c r="F2261" s="3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 s="7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 s="5">
        <v>20</v>
      </c>
      <c r="C2262">
        <v>52.82</v>
      </c>
      <c r="D2262">
        <v>6</v>
      </c>
      <c r="E2262" s="5">
        <v>1056.4000000000001</v>
      </c>
      <c r="F2262" s="3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s="7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 s="5">
        <v>46</v>
      </c>
      <c r="C2263">
        <v>60.9</v>
      </c>
      <c r="D2263">
        <v>4</v>
      </c>
      <c r="E2263" s="5">
        <v>2801.4</v>
      </c>
      <c r="F2263" s="3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s="7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 s="5">
        <v>40</v>
      </c>
      <c r="C2264">
        <v>49.71</v>
      </c>
      <c r="D2264">
        <v>6</v>
      </c>
      <c r="E2264" s="5">
        <v>1988.4</v>
      </c>
      <c r="F2264" s="3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s="7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 s="5">
        <v>45</v>
      </c>
      <c r="C2265">
        <v>64.63</v>
      </c>
      <c r="D2265">
        <v>6</v>
      </c>
      <c r="E2265" s="5">
        <v>2908.35</v>
      </c>
      <c r="F2265" s="3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 s="7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 s="5">
        <v>36</v>
      </c>
      <c r="C2266">
        <v>59.65</v>
      </c>
      <c r="D2266">
        <v>9</v>
      </c>
      <c r="E2266" s="5">
        <v>2147.4</v>
      </c>
      <c r="F2266" s="3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 s="7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 s="5">
        <v>31</v>
      </c>
      <c r="C2267">
        <v>67.73</v>
      </c>
      <c r="D2267">
        <v>3</v>
      </c>
      <c r="E2267" s="5">
        <v>2099.63</v>
      </c>
      <c r="F2267" s="3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 s="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 s="5">
        <v>46</v>
      </c>
      <c r="C2268">
        <v>50.33</v>
      </c>
      <c r="D2268">
        <v>17</v>
      </c>
      <c r="E2268" s="5">
        <v>2315.1799999999998</v>
      </c>
      <c r="F2268" s="3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s="7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 s="5">
        <v>35</v>
      </c>
      <c r="C2269">
        <v>66.489999999999995</v>
      </c>
      <c r="D2269">
        <v>9</v>
      </c>
      <c r="E2269" s="5">
        <v>2327.15</v>
      </c>
      <c r="F2269" s="3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s="7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 s="5">
        <v>28</v>
      </c>
      <c r="C2270">
        <v>100</v>
      </c>
      <c r="D2270">
        <v>2</v>
      </c>
      <c r="E2270" s="5">
        <v>5377.4</v>
      </c>
      <c r="F2270" s="3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s="7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 s="5">
        <v>31</v>
      </c>
      <c r="C2271">
        <v>84.71</v>
      </c>
      <c r="D2271">
        <v>9</v>
      </c>
      <c r="E2271" s="5">
        <v>2626.01</v>
      </c>
      <c r="F2271" s="3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s="7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 s="5">
        <v>27</v>
      </c>
      <c r="C2272">
        <v>100</v>
      </c>
      <c r="D2272">
        <v>14</v>
      </c>
      <c r="E2272" s="5">
        <v>4406.3999999999996</v>
      </c>
      <c r="F2272" s="3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s="7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 s="5">
        <v>22</v>
      </c>
      <c r="C2273">
        <v>100</v>
      </c>
      <c r="D2273">
        <v>1</v>
      </c>
      <c r="E2273" s="5">
        <v>4301.22</v>
      </c>
      <c r="F2273" s="3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s="7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 s="5">
        <v>30</v>
      </c>
      <c r="C2274">
        <v>99.55</v>
      </c>
      <c r="D2274">
        <v>11</v>
      </c>
      <c r="E2274" s="5">
        <v>2986.5</v>
      </c>
      <c r="F2274" s="3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 s="7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 s="5">
        <v>44</v>
      </c>
      <c r="C2275">
        <v>36.07</v>
      </c>
      <c r="D2275">
        <v>8</v>
      </c>
      <c r="E2275" s="5">
        <v>1587.08</v>
      </c>
      <c r="F2275" s="3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s="7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 s="5">
        <v>30</v>
      </c>
      <c r="C2276">
        <v>60.28</v>
      </c>
      <c r="D2276">
        <v>4</v>
      </c>
      <c r="E2276" s="5">
        <v>1808.4</v>
      </c>
      <c r="F2276" s="3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s="7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 s="5">
        <v>24</v>
      </c>
      <c r="C2277">
        <v>49.71</v>
      </c>
      <c r="D2277">
        <v>6</v>
      </c>
      <c r="E2277" s="5">
        <v>1193.04</v>
      </c>
      <c r="F2277" s="3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 s="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 s="5">
        <v>45</v>
      </c>
      <c r="C2278">
        <v>75.63</v>
      </c>
      <c r="D2278">
        <v>7</v>
      </c>
      <c r="E2278" s="5">
        <v>3403.35</v>
      </c>
      <c r="F2278" s="3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s="7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 s="5">
        <v>23</v>
      </c>
      <c r="C2279">
        <v>68.52</v>
      </c>
      <c r="D2279">
        <v>1</v>
      </c>
      <c r="E2279" s="5">
        <v>1575.96</v>
      </c>
      <c r="F2279" s="3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 s="7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 s="5">
        <v>26</v>
      </c>
      <c r="C2280">
        <v>62.7</v>
      </c>
      <c r="D2280">
        <v>7</v>
      </c>
      <c r="E2280" s="5">
        <v>1630.2</v>
      </c>
      <c r="F2280" s="3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s="7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 s="5">
        <v>28</v>
      </c>
      <c r="C2281">
        <v>60.76</v>
      </c>
      <c r="D2281">
        <v>7</v>
      </c>
      <c r="E2281" s="5">
        <v>1701.28</v>
      </c>
      <c r="F2281" s="3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 s="7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 s="5">
        <v>49</v>
      </c>
      <c r="C2282">
        <v>58.18</v>
      </c>
      <c r="D2282">
        <v>4</v>
      </c>
      <c r="E2282" s="5">
        <v>2850.82</v>
      </c>
      <c r="F2282" s="3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s="7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 s="5">
        <v>49</v>
      </c>
      <c r="C2283">
        <v>54.94</v>
      </c>
      <c r="D2283">
        <v>5</v>
      </c>
      <c r="E2283" s="5">
        <v>2692.06</v>
      </c>
      <c r="F2283" s="3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s="7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 s="5">
        <v>29</v>
      </c>
      <c r="C2284">
        <v>74.98</v>
      </c>
      <c r="D2284">
        <v>12</v>
      </c>
      <c r="E2284" s="5">
        <v>2174.42</v>
      </c>
      <c r="F2284" s="3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s="7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 s="5">
        <v>49</v>
      </c>
      <c r="C2285">
        <v>64.64</v>
      </c>
      <c r="D2285">
        <v>4</v>
      </c>
      <c r="E2285" s="5">
        <v>3167.36</v>
      </c>
      <c r="F2285" s="3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 s="7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 s="5">
        <v>39</v>
      </c>
      <c r="C2286">
        <v>54.94</v>
      </c>
      <c r="D2286">
        <v>7</v>
      </c>
      <c r="E2286" s="5">
        <v>2142.66</v>
      </c>
      <c r="F2286" s="3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s="7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 s="5">
        <v>36</v>
      </c>
      <c r="C2287">
        <v>58.82</v>
      </c>
      <c r="D2287">
        <v>2</v>
      </c>
      <c r="E2287" s="5">
        <v>2117.52</v>
      </c>
      <c r="F2287" s="3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s="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 s="5">
        <v>39</v>
      </c>
      <c r="C2288">
        <v>62.05</v>
      </c>
      <c r="D2288">
        <v>7</v>
      </c>
      <c r="E2288" s="5">
        <v>2419.9499999999998</v>
      </c>
      <c r="F2288" s="3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s="7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 s="5">
        <v>30</v>
      </c>
      <c r="C2289">
        <v>73.040000000000006</v>
      </c>
      <c r="D2289">
        <v>12</v>
      </c>
      <c r="E2289" s="5">
        <v>2191.1999999999998</v>
      </c>
      <c r="F2289" s="3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 s="7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 s="5">
        <v>44</v>
      </c>
      <c r="C2290">
        <v>69.16</v>
      </c>
      <c r="D2290">
        <v>5</v>
      </c>
      <c r="E2290" s="5">
        <v>3043.04</v>
      </c>
      <c r="F2290" s="3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 s="7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 s="5">
        <v>20</v>
      </c>
      <c r="C2291">
        <v>61.41</v>
      </c>
      <c r="D2291">
        <v>2</v>
      </c>
      <c r="E2291" s="5">
        <v>1228.2</v>
      </c>
      <c r="F2291" s="3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s="7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 s="5">
        <v>21</v>
      </c>
      <c r="C2292">
        <v>63.35</v>
      </c>
      <c r="D2292">
        <v>5</v>
      </c>
      <c r="E2292" s="5">
        <v>1330.35</v>
      </c>
      <c r="F2292" s="3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s="7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 s="5">
        <v>36</v>
      </c>
      <c r="C2293">
        <v>77.569999999999993</v>
      </c>
      <c r="D2293">
        <v>12</v>
      </c>
      <c r="E2293" s="5">
        <v>2792.52</v>
      </c>
      <c r="F2293" s="3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 s="7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 s="5">
        <v>32</v>
      </c>
      <c r="C2294">
        <v>71.75</v>
      </c>
      <c r="D2294">
        <v>7</v>
      </c>
      <c r="E2294" s="5">
        <v>2296</v>
      </c>
      <c r="F2294" s="3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s="7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 s="5">
        <v>36</v>
      </c>
      <c r="C2295">
        <v>73.040000000000006</v>
      </c>
      <c r="D2295">
        <v>2</v>
      </c>
      <c r="E2295" s="5">
        <v>2629.44</v>
      </c>
      <c r="F2295" s="3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s="7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 s="5">
        <v>34</v>
      </c>
      <c r="C2296">
        <v>56.24</v>
      </c>
      <c r="D2296">
        <v>10</v>
      </c>
      <c r="E2296" s="5">
        <v>1912.16</v>
      </c>
      <c r="F2296" s="3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s="7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 s="5">
        <v>48</v>
      </c>
      <c r="C2297">
        <v>100</v>
      </c>
      <c r="D2297">
        <v>4</v>
      </c>
      <c r="E2297" s="5">
        <v>8209.44</v>
      </c>
      <c r="F2297" s="3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 s="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 s="5">
        <v>33</v>
      </c>
      <c r="C2298">
        <v>73.69</v>
      </c>
      <c r="D2298">
        <v>4</v>
      </c>
      <c r="E2298" s="5">
        <v>2431.77</v>
      </c>
      <c r="F2298" s="3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 s="7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 s="5">
        <v>31</v>
      </c>
      <c r="C2299">
        <v>100</v>
      </c>
      <c r="D2299">
        <v>5</v>
      </c>
      <c r="E2299" s="5">
        <v>3139.99</v>
      </c>
      <c r="F2299" s="3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s="7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 s="5">
        <v>36</v>
      </c>
      <c r="C2300">
        <v>100</v>
      </c>
      <c r="D2300">
        <v>2</v>
      </c>
      <c r="E2300" s="5">
        <v>5669.64</v>
      </c>
      <c r="F2300" s="3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s="7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 s="5">
        <v>25</v>
      </c>
      <c r="C2301">
        <v>100</v>
      </c>
      <c r="D2301">
        <v>3</v>
      </c>
      <c r="E2301" s="5">
        <v>3160.25</v>
      </c>
      <c r="F2301" s="3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s="7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 s="5">
        <v>48</v>
      </c>
      <c r="C2302">
        <v>100</v>
      </c>
      <c r="D2302">
        <v>8</v>
      </c>
      <c r="E2302" s="5">
        <v>6799.68</v>
      </c>
      <c r="F2302" s="3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 s="7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 s="5">
        <v>27</v>
      </c>
      <c r="C2303">
        <v>69.16</v>
      </c>
      <c r="D2303">
        <v>5</v>
      </c>
      <c r="E2303" s="5">
        <v>1867.32</v>
      </c>
      <c r="F2303" s="3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s="7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 s="5">
        <v>44</v>
      </c>
      <c r="C2304">
        <v>61.41</v>
      </c>
      <c r="D2304">
        <v>2</v>
      </c>
      <c r="E2304" s="5">
        <v>2702.04</v>
      </c>
      <c r="F2304" s="3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s="7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 s="5">
        <v>33</v>
      </c>
      <c r="C2305">
        <v>72.92</v>
      </c>
      <c r="D2305">
        <v>5</v>
      </c>
      <c r="E2305" s="5">
        <v>2406.36</v>
      </c>
      <c r="F2305" s="3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s="7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 s="5">
        <v>29</v>
      </c>
      <c r="C2306">
        <v>72.23</v>
      </c>
      <c r="D2306">
        <v>11</v>
      </c>
      <c r="E2306" s="5">
        <v>2094.67</v>
      </c>
      <c r="F2306" s="3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s="7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 s="5">
        <v>49</v>
      </c>
      <c r="C2307">
        <v>57.1</v>
      </c>
      <c r="D2307">
        <v>6</v>
      </c>
      <c r="E2307" s="5">
        <v>2797.9</v>
      </c>
      <c r="F2307" s="3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s="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 s="5">
        <v>20</v>
      </c>
      <c r="C2308">
        <v>81.86</v>
      </c>
      <c r="D2308">
        <v>1</v>
      </c>
      <c r="E2308" s="5">
        <v>1637.2</v>
      </c>
      <c r="F2308" s="3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s="7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 s="5">
        <v>31</v>
      </c>
      <c r="C2309">
        <v>73.61</v>
      </c>
      <c r="D2309">
        <v>12</v>
      </c>
      <c r="E2309" s="5">
        <v>2281.91</v>
      </c>
      <c r="F2309" s="3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 s="7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 s="5">
        <v>39</v>
      </c>
      <c r="C2310">
        <v>59.16</v>
      </c>
      <c r="D2310">
        <v>10</v>
      </c>
      <c r="E2310" s="5">
        <v>2307.2399999999998</v>
      </c>
      <c r="F2310" s="3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s="7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 s="5">
        <v>20</v>
      </c>
      <c r="C2311">
        <v>66.040000000000006</v>
      </c>
      <c r="D2311">
        <v>12</v>
      </c>
      <c r="E2311" s="5">
        <v>1320.8</v>
      </c>
      <c r="F2311" s="3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s="7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 s="5">
        <v>34</v>
      </c>
      <c r="C2312">
        <v>77.73</v>
      </c>
      <c r="D2312">
        <v>6</v>
      </c>
      <c r="E2312" s="5">
        <v>2642.82</v>
      </c>
      <c r="F2312" s="3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s="7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 s="5">
        <v>50</v>
      </c>
      <c r="C2313">
        <v>61.22</v>
      </c>
      <c r="D2313">
        <v>7</v>
      </c>
      <c r="E2313" s="5">
        <v>3061</v>
      </c>
      <c r="F2313" s="3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 s="7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 s="5">
        <v>40</v>
      </c>
      <c r="C2314">
        <v>79.11</v>
      </c>
      <c r="D2314">
        <v>2</v>
      </c>
      <c r="E2314" s="5">
        <v>3164.4</v>
      </c>
      <c r="F2314" s="3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s="7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 s="5">
        <v>28</v>
      </c>
      <c r="C2315">
        <v>63.97</v>
      </c>
      <c r="D2315">
        <v>12</v>
      </c>
      <c r="E2315" s="5">
        <v>1791.16</v>
      </c>
      <c r="F2315" s="3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s="7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 s="5">
        <v>50</v>
      </c>
      <c r="C2316">
        <v>81.86</v>
      </c>
      <c r="D2316">
        <v>4</v>
      </c>
      <c r="E2316" s="5">
        <v>4093</v>
      </c>
      <c r="F2316" s="3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s="7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 s="5">
        <v>28</v>
      </c>
      <c r="C2317">
        <v>79.8</v>
      </c>
      <c r="D2317">
        <v>7</v>
      </c>
      <c r="E2317" s="5">
        <v>2234.4</v>
      </c>
      <c r="F2317" s="3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s="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 s="5">
        <v>46</v>
      </c>
      <c r="C2318">
        <v>66.040000000000006</v>
      </c>
      <c r="D2318">
        <v>10</v>
      </c>
      <c r="E2318" s="5">
        <v>3037.84</v>
      </c>
      <c r="F2318" s="3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 s="7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 s="5">
        <v>24</v>
      </c>
      <c r="C2319">
        <v>59.16</v>
      </c>
      <c r="D2319">
        <v>2</v>
      </c>
      <c r="E2319" s="5">
        <v>1419.84</v>
      </c>
      <c r="F2319" s="3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s="7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 s="5">
        <v>24</v>
      </c>
      <c r="C2320">
        <v>81.17</v>
      </c>
      <c r="D2320">
        <v>5</v>
      </c>
      <c r="E2320" s="5">
        <v>1948.08</v>
      </c>
      <c r="F2320" s="3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s="7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 s="5">
        <v>39</v>
      </c>
      <c r="C2321">
        <v>59.16</v>
      </c>
      <c r="D2321">
        <v>3</v>
      </c>
      <c r="E2321" s="5">
        <v>2307.2399999999998</v>
      </c>
      <c r="F2321" s="3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s="7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 s="5">
        <v>40</v>
      </c>
      <c r="C2322">
        <v>44.51</v>
      </c>
      <c r="D2322">
        <v>7</v>
      </c>
      <c r="E2322" s="5">
        <v>1780.4</v>
      </c>
      <c r="F2322" s="3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 s="7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 s="5">
        <v>49</v>
      </c>
      <c r="C2323">
        <v>72.33</v>
      </c>
      <c r="D2323">
        <v>2</v>
      </c>
      <c r="E2323" s="5">
        <v>3544.17</v>
      </c>
      <c r="F2323" s="3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s="7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 s="5">
        <v>44</v>
      </c>
      <c r="C2324">
        <v>82.26</v>
      </c>
      <c r="D2324">
        <v>4</v>
      </c>
      <c r="E2324" s="5">
        <v>3619.44</v>
      </c>
      <c r="F2324" s="3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s="7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 s="5">
        <v>35</v>
      </c>
      <c r="C2325">
        <v>100</v>
      </c>
      <c r="D2325">
        <v>8</v>
      </c>
      <c r="E2325" s="5">
        <v>3918.95</v>
      </c>
      <c r="F2325" s="3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 s="7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 s="5">
        <v>22</v>
      </c>
      <c r="C2326">
        <v>67.41</v>
      </c>
      <c r="D2326">
        <v>4</v>
      </c>
      <c r="E2326" s="5">
        <v>1483.02</v>
      </c>
      <c r="F2326" s="3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s="7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 s="5">
        <v>62</v>
      </c>
      <c r="C2327">
        <v>77.73</v>
      </c>
      <c r="D2327">
        <v>6</v>
      </c>
      <c r="E2327" s="5">
        <v>4819.26</v>
      </c>
      <c r="F2327" s="3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 s="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 s="5">
        <v>26</v>
      </c>
      <c r="C2328">
        <v>61.22</v>
      </c>
      <c r="D2328">
        <v>7</v>
      </c>
      <c r="E2328" s="5">
        <v>1591.72</v>
      </c>
      <c r="F2328" s="3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s="7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 s="5">
        <v>31</v>
      </c>
      <c r="C2329">
        <v>100</v>
      </c>
      <c r="D2329">
        <v>16</v>
      </c>
      <c r="E2329" s="5">
        <v>3669.78</v>
      </c>
      <c r="F2329" s="3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s="7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 s="5">
        <v>25</v>
      </c>
      <c r="C2330">
        <v>86.74</v>
      </c>
      <c r="D2330">
        <v>3</v>
      </c>
      <c r="E2330" s="5">
        <v>2168.5</v>
      </c>
      <c r="F2330" s="3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s="7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 s="5">
        <v>30</v>
      </c>
      <c r="C2331">
        <v>89.8</v>
      </c>
      <c r="D2331">
        <v>17</v>
      </c>
      <c r="E2331" s="5">
        <v>2694</v>
      </c>
      <c r="F2331" s="3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 s="7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 s="5">
        <v>27</v>
      </c>
      <c r="C2332">
        <v>100</v>
      </c>
      <c r="D2332">
        <v>4</v>
      </c>
      <c r="E2332" s="5">
        <v>3251.34</v>
      </c>
      <c r="F2332" s="3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 s="7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 s="5">
        <v>23</v>
      </c>
      <c r="C2333">
        <v>100</v>
      </c>
      <c r="D2333">
        <v>12</v>
      </c>
      <c r="E2333" s="5">
        <v>2347.15</v>
      </c>
      <c r="F2333" s="3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 s="7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 s="5">
        <v>34</v>
      </c>
      <c r="C2334">
        <v>100</v>
      </c>
      <c r="D2334">
        <v>12</v>
      </c>
      <c r="E2334" s="5">
        <v>3920.88</v>
      </c>
      <c r="F2334" s="3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s="7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 s="5">
        <v>22</v>
      </c>
      <c r="C2335">
        <v>100</v>
      </c>
      <c r="D2335">
        <v>7</v>
      </c>
      <c r="E2335" s="5">
        <v>2514.6</v>
      </c>
      <c r="F2335" s="3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s="7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 s="5">
        <v>42</v>
      </c>
      <c r="C2336">
        <v>85.72</v>
      </c>
      <c r="D2336">
        <v>4</v>
      </c>
      <c r="E2336" s="5">
        <v>3600.24</v>
      </c>
      <c r="F2336" s="3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s="7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 s="5">
        <v>37</v>
      </c>
      <c r="C2337">
        <v>100</v>
      </c>
      <c r="D2337">
        <v>12</v>
      </c>
      <c r="E2337" s="5">
        <v>4040.03</v>
      </c>
      <c r="F2337" s="3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s="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 s="5">
        <v>30</v>
      </c>
      <c r="C2338">
        <v>100</v>
      </c>
      <c r="D2338">
        <v>5</v>
      </c>
      <c r="E2338" s="5">
        <v>3336.9</v>
      </c>
      <c r="F2338" s="3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s="7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 s="5">
        <v>27</v>
      </c>
      <c r="C2339">
        <v>100</v>
      </c>
      <c r="D2339">
        <v>5</v>
      </c>
      <c r="E2339" s="5">
        <v>3113.64</v>
      </c>
      <c r="F2339" s="3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 s="7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 s="5">
        <v>25</v>
      </c>
      <c r="C2340">
        <v>100</v>
      </c>
      <c r="D2340">
        <v>9</v>
      </c>
      <c r="E2340" s="5">
        <v>2832</v>
      </c>
      <c r="F2340" s="3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s="7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 s="5">
        <v>34</v>
      </c>
      <c r="C2341">
        <v>97.97</v>
      </c>
      <c r="D2341">
        <v>7</v>
      </c>
      <c r="E2341" s="5">
        <v>3330.98</v>
      </c>
      <c r="F2341" s="3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 s="7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 s="5">
        <v>38</v>
      </c>
      <c r="C2342">
        <v>100</v>
      </c>
      <c r="D2342">
        <v>13</v>
      </c>
      <c r="E2342" s="5">
        <v>4304.6400000000003</v>
      </c>
      <c r="F2342" s="3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 s="7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 s="5">
        <v>26</v>
      </c>
      <c r="C2343">
        <v>100</v>
      </c>
      <c r="D2343">
        <v>4</v>
      </c>
      <c r="E2343" s="5">
        <v>2600.2600000000002</v>
      </c>
      <c r="F2343" s="3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 s="7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 s="5">
        <v>38</v>
      </c>
      <c r="C2344">
        <v>100</v>
      </c>
      <c r="D2344">
        <v>7</v>
      </c>
      <c r="E2344" s="5">
        <v>4382.16</v>
      </c>
      <c r="F2344" s="3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s="7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 s="5">
        <v>50</v>
      </c>
      <c r="C2345">
        <v>84.7</v>
      </c>
      <c r="D2345">
        <v>3</v>
      </c>
      <c r="E2345" s="5">
        <v>4235</v>
      </c>
      <c r="F2345" s="3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s="7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 s="5">
        <v>22</v>
      </c>
      <c r="C2346">
        <v>100</v>
      </c>
      <c r="D2346">
        <v>8</v>
      </c>
      <c r="E2346" s="5">
        <v>2626.8</v>
      </c>
      <c r="F2346" s="3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 s="7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 s="5">
        <v>32</v>
      </c>
      <c r="C2347">
        <v>100</v>
      </c>
      <c r="D2347">
        <v>4</v>
      </c>
      <c r="E2347" s="5">
        <v>5026.5600000000004</v>
      </c>
      <c r="F2347" s="3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 s="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 s="5">
        <v>31</v>
      </c>
      <c r="C2348">
        <v>71.02</v>
      </c>
      <c r="D2348">
        <v>4</v>
      </c>
      <c r="E2348" s="5">
        <v>2201.62</v>
      </c>
      <c r="F2348" s="3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s="7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 s="5">
        <v>40</v>
      </c>
      <c r="C2349">
        <v>100</v>
      </c>
      <c r="D2349">
        <v>5</v>
      </c>
      <c r="E2349" s="5">
        <v>4326.8</v>
      </c>
      <c r="F2349" s="3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s="7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 s="5">
        <v>22</v>
      </c>
      <c r="C2350">
        <v>100</v>
      </c>
      <c r="D2350">
        <v>3</v>
      </c>
      <c r="E2350" s="5">
        <v>3425.18</v>
      </c>
      <c r="F2350" s="3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 s="7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 s="5">
        <v>41</v>
      </c>
      <c r="C2351">
        <v>100</v>
      </c>
      <c r="D2351">
        <v>15</v>
      </c>
      <c r="E2351" s="5">
        <v>4701.88</v>
      </c>
      <c r="F2351" s="3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s="7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 s="5">
        <v>45</v>
      </c>
      <c r="C2352">
        <v>48.98</v>
      </c>
      <c r="D2352">
        <v>12</v>
      </c>
      <c r="E2352" s="5">
        <v>2204.1</v>
      </c>
      <c r="F2352" s="3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 s="7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 s="5">
        <v>45</v>
      </c>
      <c r="C2353">
        <v>100</v>
      </c>
      <c r="D2353">
        <v>5</v>
      </c>
      <c r="E2353" s="5">
        <v>5189.3999999999996</v>
      </c>
      <c r="F2353" s="3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s="7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 s="5">
        <v>39</v>
      </c>
      <c r="C2354">
        <v>40.15</v>
      </c>
      <c r="D2354">
        <v>6</v>
      </c>
      <c r="E2354" s="5">
        <v>1565.85</v>
      </c>
      <c r="F2354" s="3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s="7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 s="5">
        <v>49</v>
      </c>
      <c r="C2355">
        <v>50.62</v>
      </c>
      <c r="D2355">
        <v>12</v>
      </c>
      <c r="E2355" s="5">
        <v>2480.38</v>
      </c>
      <c r="F2355" s="3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s="7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 s="5">
        <v>27</v>
      </c>
      <c r="C2356">
        <v>50.19</v>
      </c>
      <c r="D2356">
        <v>7</v>
      </c>
      <c r="E2356" s="5">
        <v>1355.13</v>
      </c>
      <c r="F2356" s="3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s="7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 s="5">
        <v>34</v>
      </c>
      <c r="C2357">
        <v>36.659999999999997</v>
      </c>
      <c r="D2357">
        <v>1</v>
      </c>
      <c r="E2357" s="5">
        <v>1246.44</v>
      </c>
      <c r="F2357" s="3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 s="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 s="5">
        <v>20</v>
      </c>
      <c r="C2358">
        <v>41.02</v>
      </c>
      <c r="D2358">
        <v>1</v>
      </c>
      <c r="E2358" s="5">
        <v>820.4</v>
      </c>
      <c r="F2358" s="3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s="7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 s="5">
        <v>48</v>
      </c>
      <c r="C2359">
        <v>51.93</v>
      </c>
      <c r="D2359">
        <v>13</v>
      </c>
      <c r="E2359" s="5">
        <v>2492.64</v>
      </c>
      <c r="F2359" s="3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 s="7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 s="5">
        <v>29</v>
      </c>
      <c r="C2360">
        <v>38.4</v>
      </c>
      <c r="D2360">
        <v>1</v>
      </c>
      <c r="E2360" s="5">
        <v>1113.5999999999999</v>
      </c>
      <c r="F2360" s="3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 s="7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 s="5">
        <v>43</v>
      </c>
      <c r="C2361">
        <v>41.02</v>
      </c>
      <c r="D2361">
        <v>11</v>
      </c>
      <c r="E2361" s="5">
        <v>1763.86</v>
      </c>
      <c r="F2361" s="3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s="7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 s="5">
        <v>41</v>
      </c>
      <c r="C2362">
        <v>46.26</v>
      </c>
      <c r="D2362">
        <v>13</v>
      </c>
      <c r="E2362" s="5">
        <v>1896.66</v>
      </c>
      <c r="F2362" s="3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s="7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 s="5">
        <v>41</v>
      </c>
      <c r="C2363">
        <v>35.35</v>
      </c>
      <c r="D2363">
        <v>7</v>
      </c>
      <c r="E2363" s="5">
        <v>1449.35</v>
      </c>
      <c r="F2363" s="3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s="7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 s="5">
        <v>36</v>
      </c>
      <c r="C2364">
        <v>51.93</v>
      </c>
      <c r="D2364">
        <v>8</v>
      </c>
      <c r="E2364" s="5">
        <v>1869.48</v>
      </c>
      <c r="F2364" s="3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 s="7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 s="5">
        <v>49</v>
      </c>
      <c r="C2365">
        <v>37.97</v>
      </c>
      <c r="D2365">
        <v>3</v>
      </c>
      <c r="E2365" s="5">
        <v>1860.53</v>
      </c>
      <c r="F2365" s="3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s="7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 s="5">
        <v>38</v>
      </c>
      <c r="C2366">
        <v>45.39</v>
      </c>
      <c r="D2366">
        <v>13</v>
      </c>
      <c r="E2366" s="5">
        <v>1724.82</v>
      </c>
      <c r="F2366" s="3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s="7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 s="5">
        <v>33</v>
      </c>
      <c r="C2367">
        <v>51.93</v>
      </c>
      <c r="D2367">
        <v>5</v>
      </c>
      <c r="E2367" s="5">
        <v>1713.69</v>
      </c>
      <c r="F2367" s="3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s="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 s="5">
        <v>26</v>
      </c>
      <c r="C2368">
        <v>48.44</v>
      </c>
      <c r="D2368">
        <v>1</v>
      </c>
      <c r="E2368" s="5">
        <v>1259.44</v>
      </c>
      <c r="F2368" s="3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s="7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 s="5">
        <v>47</v>
      </c>
      <c r="C2369">
        <v>43.64</v>
      </c>
      <c r="D2369">
        <v>11</v>
      </c>
      <c r="E2369" s="5">
        <v>2051.08</v>
      </c>
      <c r="F2369" s="3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 s="7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 s="5">
        <v>34</v>
      </c>
      <c r="C2370">
        <v>47.57</v>
      </c>
      <c r="D2370">
        <v>3</v>
      </c>
      <c r="E2370" s="5">
        <v>1617.38</v>
      </c>
      <c r="F2370" s="3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s="7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 s="5">
        <v>34</v>
      </c>
      <c r="C2371">
        <v>51.93</v>
      </c>
      <c r="D2371">
        <v>7</v>
      </c>
      <c r="E2371" s="5">
        <v>1765.62</v>
      </c>
      <c r="F2371" s="3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s="7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 s="5">
        <v>40</v>
      </c>
      <c r="C2372">
        <v>50.62</v>
      </c>
      <c r="D2372">
        <v>4</v>
      </c>
      <c r="E2372" s="5">
        <v>2024.8</v>
      </c>
      <c r="F2372" s="3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s="7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 s="5">
        <v>40</v>
      </c>
      <c r="C2373">
        <v>82.21</v>
      </c>
      <c r="D2373">
        <v>8</v>
      </c>
      <c r="E2373" s="5">
        <v>3288.4</v>
      </c>
      <c r="F2373" s="3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 s="7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 s="5">
        <v>33</v>
      </c>
      <c r="C2374">
        <v>82.59</v>
      </c>
      <c r="D2374">
        <v>3</v>
      </c>
      <c r="E2374" s="5">
        <v>2725.47</v>
      </c>
      <c r="F2374" s="3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s="7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 s="5">
        <v>49</v>
      </c>
      <c r="C2375">
        <v>65.8</v>
      </c>
      <c r="D2375">
        <v>5</v>
      </c>
      <c r="E2375" s="5">
        <v>3224.2</v>
      </c>
      <c r="F2375" s="3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s="7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 s="5">
        <v>27</v>
      </c>
      <c r="C2376">
        <v>100</v>
      </c>
      <c r="D2376">
        <v>1</v>
      </c>
      <c r="E2376" s="5">
        <v>3211.38</v>
      </c>
      <c r="F2376" s="3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 s="7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 s="5">
        <v>49</v>
      </c>
      <c r="C2377">
        <v>36.659999999999997</v>
      </c>
      <c r="D2377">
        <v>5</v>
      </c>
      <c r="E2377" s="5">
        <v>1796.34</v>
      </c>
      <c r="F2377" s="3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s="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 s="5">
        <v>56</v>
      </c>
      <c r="C2378">
        <v>35.35</v>
      </c>
      <c r="D2378">
        <v>7</v>
      </c>
      <c r="E2378" s="5">
        <v>1979.6</v>
      </c>
      <c r="F2378" s="3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 s="7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 s="5">
        <v>37</v>
      </c>
      <c r="C2379">
        <v>51.93</v>
      </c>
      <c r="D2379">
        <v>8</v>
      </c>
      <c r="E2379" s="5">
        <v>1921.41</v>
      </c>
      <c r="F2379" s="3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s="7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 s="5">
        <v>33</v>
      </c>
      <c r="C2380">
        <v>100</v>
      </c>
      <c r="D2380">
        <v>7</v>
      </c>
      <c r="E2380" s="5">
        <v>3705.24</v>
      </c>
      <c r="F2380" s="3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s="7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 s="5">
        <v>27</v>
      </c>
      <c r="C2381">
        <v>100</v>
      </c>
      <c r="D2381">
        <v>3</v>
      </c>
      <c r="E2381" s="5">
        <v>2843.91</v>
      </c>
      <c r="F2381" s="3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 s="7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 s="5">
        <v>46</v>
      </c>
      <c r="C2382">
        <v>100</v>
      </c>
      <c r="D2382">
        <v>9</v>
      </c>
      <c r="E2382" s="5">
        <v>6176.42</v>
      </c>
      <c r="F2382" s="3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 s="7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 s="5">
        <v>44</v>
      </c>
      <c r="C2383">
        <v>100</v>
      </c>
      <c r="D2383">
        <v>3</v>
      </c>
      <c r="E2383" s="5">
        <v>5500.44</v>
      </c>
      <c r="F2383" s="3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s="7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 s="5">
        <v>26</v>
      </c>
      <c r="C2384">
        <v>100</v>
      </c>
      <c r="D2384">
        <v>1</v>
      </c>
      <c r="E2384" s="5">
        <v>3220.1</v>
      </c>
      <c r="F2384" s="3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s="7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 s="5">
        <v>48</v>
      </c>
      <c r="C2385">
        <v>94.92</v>
      </c>
      <c r="D2385">
        <v>10</v>
      </c>
      <c r="E2385" s="5">
        <v>4556.16</v>
      </c>
      <c r="F2385" s="3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s="7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 s="5">
        <v>23</v>
      </c>
      <c r="C2386">
        <v>100</v>
      </c>
      <c r="D2386">
        <v>9</v>
      </c>
      <c r="E2386" s="5">
        <v>3114.89</v>
      </c>
      <c r="F2386" s="3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s="7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 s="5">
        <v>45</v>
      </c>
      <c r="C2387">
        <v>100</v>
      </c>
      <c r="D2387">
        <v>4</v>
      </c>
      <c r="E2387" s="5">
        <v>4948.2</v>
      </c>
      <c r="F2387" s="3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s="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 s="5">
        <v>49</v>
      </c>
      <c r="C2388">
        <v>100</v>
      </c>
      <c r="D2388">
        <v>4</v>
      </c>
      <c r="E2388" s="5">
        <v>5161.17</v>
      </c>
      <c r="F2388" s="3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 s="7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 s="5">
        <v>28</v>
      </c>
      <c r="C2389">
        <v>94.92</v>
      </c>
      <c r="D2389">
        <v>5</v>
      </c>
      <c r="E2389" s="5">
        <v>2657.76</v>
      </c>
      <c r="F2389" s="3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 s="7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 s="5">
        <v>37</v>
      </c>
      <c r="C2390">
        <v>100</v>
      </c>
      <c r="D2390">
        <v>9</v>
      </c>
      <c r="E2390" s="5">
        <v>3983.05</v>
      </c>
      <c r="F2390" s="3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s="7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 s="5">
        <v>34</v>
      </c>
      <c r="C2391">
        <v>100</v>
      </c>
      <c r="D2391">
        <v>7</v>
      </c>
      <c r="E2391" s="5">
        <v>3974.94</v>
      </c>
      <c r="F2391" s="3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s="7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 s="5">
        <v>22</v>
      </c>
      <c r="C2392">
        <v>100</v>
      </c>
      <c r="D2392">
        <v>3</v>
      </c>
      <c r="E2392" s="5">
        <v>2928.42</v>
      </c>
      <c r="F2392" s="3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s="7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 s="5">
        <v>29</v>
      </c>
      <c r="C2393">
        <v>100</v>
      </c>
      <c r="D2393">
        <v>2</v>
      </c>
      <c r="E2393" s="5">
        <v>3054.57</v>
      </c>
      <c r="F2393" s="3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s="7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 s="5">
        <v>34</v>
      </c>
      <c r="C2394">
        <v>98.39</v>
      </c>
      <c r="D2394">
        <v>3</v>
      </c>
      <c r="E2394" s="5">
        <v>3345.26</v>
      </c>
      <c r="F2394" s="3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 s="7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 s="5">
        <v>38</v>
      </c>
      <c r="C2395">
        <v>100</v>
      </c>
      <c r="D2395">
        <v>12</v>
      </c>
      <c r="E2395" s="5">
        <v>4310.72</v>
      </c>
      <c r="F2395" s="3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 s="7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 s="5">
        <v>41</v>
      </c>
      <c r="C2396">
        <v>100</v>
      </c>
      <c r="D2396">
        <v>6</v>
      </c>
      <c r="E2396" s="5">
        <v>4983.1400000000003</v>
      </c>
      <c r="F2396" s="3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 s="7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 s="5">
        <v>42</v>
      </c>
      <c r="C2397">
        <v>100</v>
      </c>
      <c r="D2397">
        <v>3</v>
      </c>
      <c r="E2397" s="5">
        <v>4618.32</v>
      </c>
      <c r="F2397" s="3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 s="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 s="5">
        <v>28</v>
      </c>
      <c r="C2398">
        <v>100</v>
      </c>
      <c r="D2398">
        <v>12</v>
      </c>
      <c r="E2398" s="5">
        <v>3403.12</v>
      </c>
      <c r="F2398" s="3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s="7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 s="5">
        <v>38</v>
      </c>
      <c r="C2399">
        <v>100</v>
      </c>
      <c r="D2399">
        <v>4</v>
      </c>
      <c r="E2399" s="5">
        <v>5190.42</v>
      </c>
      <c r="F2399" s="3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s="7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 s="5">
        <v>23</v>
      </c>
      <c r="C2400">
        <v>100</v>
      </c>
      <c r="D2400">
        <v>8</v>
      </c>
      <c r="E2400" s="5">
        <v>3141.57</v>
      </c>
      <c r="F2400" s="3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s="7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 s="5">
        <v>31</v>
      </c>
      <c r="C2401">
        <v>71.400000000000006</v>
      </c>
      <c r="D2401">
        <v>8</v>
      </c>
      <c r="E2401" s="5">
        <v>2213.4</v>
      </c>
      <c r="F2401" s="3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s="7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 s="5">
        <v>46</v>
      </c>
      <c r="C2402">
        <v>100</v>
      </c>
      <c r="D2402">
        <v>2</v>
      </c>
      <c r="E2402" s="5">
        <v>4896.7</v>
      </c>
      <c r="F2402" s="3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s="7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 s="5">
        <v>48</v>
      </c>
      <c r="C2403">
        <v>56.55</v>
      </c>
      <c r="D2403">
        <v>10</v>
      </c>
      <c r="E2403" s="5">
        <v>2714.4</v>
      </c>
      <c r="F2403" s="3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 s="7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 s="5">
        <v>29</v>
      </c>
      <c r="C2404">
        <v>100</v>
      </c>
      <c r="D2404">
        <v>13</v>
      </c>
      <c r="E2404" s="5">
        <v>3087.05</v>
      </c>
      <c r="F2404" s="3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s="7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 s="5">
        <v>46</v>
      </c>
      <c r="C2405">
        <v>100</v>
      </c>
      <c r="D2405">
        <v>4</v>
      </c>
      <c r="E2405" s="5">
        <v>5692.96</v>
      </c>
      <c r="F2405" s="3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s="7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 s="5">
        <v>26</v>
      </c>
      <c r="C2406">
        <v>100</v>
      </c>
      <c r="D2406">
        <v>3</v>
      </c>
      <c r="E2406" s="5">
        <v>3460.86</v>
      </c>
      <c r="F2406" s="3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s="7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 s="5">
        <v>18</v>
      </c>
      <c r="C2407">
        <v>100</v>
      </c>
      <c r="D2407">
        <v>2</v>
      </c>
      <c r="E2407" s="5">
        <v>1895.94</v>
      </c>
      <c r="F2407" s="3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s="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 s="5">
        <v>32</v>
      </c>
      <c r="C2408">
        <v>53.31</v>
      </c>
      <c r="D2408">
        <v>2</v>
      </c>
      <c r="E2408" s="5">
        <v>1705.92</v>
      </c>
      <c r="F2408" s="3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s="7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 s="5">
        <v>21</v>
      </c>
      <c r="C2409">
        <v>49.21</v>
      </c>
      <c r="D2409">
        <v>11</v>
      </c>
      <c r="E2409" s="5">
        <v>1033.4100000000001</v>
      </c>
      <c r="F2409" s="3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s="7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 s="5">
        <v>46</v>
      </c>
      <c r="C2410">
        <v>69.12</v>
      </c>
      <c r="D2410">
        <v>4</v>
      </c>
      <c r="E2410" s="5">
        <v>3179.52</v>
      </c>
      <c r="F2410" s="3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 s="7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 s="5">
        <v>42</v>
      </c>
      <c r="C2411">
        <v>49.79</v>
      </c>
      <c r="D2411">
        <v>14</v>
      </c>
      <c r="E2411" s="5">
        <v>2091.1799999999998</v>
      </c>
      <c r="F2411" s="3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 s="7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 s="5">
        <v>31</v>
      </c>
      <c r="C2412">
        <v>57.41</v>
      </c>
      <c r="D2412">
        <v>13</v>
      </c>
      <c r="E2412" s="5">
        <v>1779.71</v>
      </c>
      <c r="F2412" s="3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s="7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 s="5">
        <v>38</v>
      </c>
      <c r="C2413">
        <v>66.78</v>
      </c>
      <c r="D2413">
        <v>5</v>
      </c>
      <c r="E2413" s="5">
        <v>2537.64</v>
      </c>
      <c r="F2413" s="3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s="7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 s="5">
        <v>38</v>
      </c>
      <c r="C2414">
        <v>64.44</v>
      </c>
      <c r="D2414">
        <v>4</v>
      </c>
      <c r="E2414" s="5">
        <v>2448.7199999999998</v>
      </c>
      <c r="F2414" s="3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s="7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 s="5">
        <v>20</v>
      </c>
      <c r="C2415">
        <v>48.62</v>
      </c>
      <c r="D2415">
        <v>15</v>
      </c>
      <c r="E2415" s="5">
        <v>972.4</v>
      </c>
      <c r="F2415" s="3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 s="7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 s="5">
        <v>46</v>
      </c>
      <c r="C2416">
        <v>62.09</v>
      </c>
      <c r="D2416">
        <v>7</v>
      </c>
      <c r="E2416" s="5">
        <v>2856.14</v>
      </c>
      <c r="F2416" s="3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 s="7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 s="5">
        <v>30</v>
      </c>
      <c r="C2417">
        <v>65.61</v>
      </c>
      <c r="D2417">
        <v>15</v>
      </c>
      <c r="E2417" s="5">
        <v>1968.3</v>
      </c>
      <c r="F2417" s="3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s="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 s="5">
        <v>30</v>
      </c>
      <c r="C2418">
        <v>68.540000000000006</v>
      </c>
      <c r="D2418">
        <v>4</v>
      </c>
      <c r="E2418" s="5">
        <v>2056.1999999999998</v>
      </c>
      <c r="F2418" s="3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s="7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 s="5">
        <v>43</v>
      </c>
      <c r="C2419">
        <v>52.14</v>
      </c>
      <c r="D2419">
        <v>2</v>
      </c>
      <c r="E2419" s="5">
        <v>2242.02</v>
      </c>
      <c r="F2419" s="3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s="7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 s="5">
        <v>49</v>
      </c>
      <c r="C2420">
        <v>63.85</v>
      </c>
      <c r="D2420">
        <v>4</v>
      </c>
      <c r="E2420" s="5">
        <v>3128.65</v>
      </c>
      <c r="F2420" s="3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s="7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 s="5">
        <v>43</v>
      </c>
      <c r="C2421">
        <v>56.82</v>
      </c>
      <c r="D2421">
        <v>4</v>
      </c>
      <c r="E2421" s="5">
        <v>2443.2600000000002</v>
      </c>
      <c r="F2421" s="3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 s="7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 s="5">
        <v>37</v>
      </c>
      <c r="C2422">
        <v>66.78</v>
      </c>
      <c r="D2422">
        <v>7</v>
      </c>
      <c r="E2422" s="5">
        <v>2470.86</v>
      </c>
      <c r="F2422" s="3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 s="7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 s="5">
        <v>35</v>
      </c>
      <c r="C2423">
        <v>55.07</v>
      </c>
      <c r="D2423">
        <v>1</v>
      </c>
      <c r="E2423" s="5">
        <v>1927.45</v>
      </c>
      <c r="F2423" s="3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 s="7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 s="5">
        <v>34</v>
      </c>
      <c r="C2424">
        <v>60.34</v>
      </c>
      <c r="D2424">
        <v>15</v>
      </c>
      <c r="E2424" s="5">
        <v>2051.56</v>
      </c>
      <c r="F2424" s="3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s="7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 s="5">
        <v>38</v>
      </c>
      <c r="C2425">
        <v>61.51</v>
      </c>
      <c r="D2425">
        <v>7</v>
      </c>
      <c r="E2425" s="5">
        <v>2337.38</v>
      </c>
      <c r="F2425" s="3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s="7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 s="5">
        <v>44</v>
      </c>
      <c r="C2426">
        <v>100</v>
      </c>
      <c r="D2426">
        <v>7</v>
      </c>
      <c r="E2426" s="5">
        <v>5932.96</v>
      </c>
      <c r="F2426" s="3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s="7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 s="5">
        <v>21</v>
      </c>
      <c r="C2427">
        <v>100</v>
      </c>
      <c r="D2427">
        <v>6</v>
      </c>
      <c r="E2427" s="5">
        <v>2296.77</v>
      </c>
      <c r="F2427" s="3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 s="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 s="5">
        <v>44</v>
      </c>
      <c r="C2428">
        <v>100</v>
      </c>
      <c r="D2428">
        <v>17</v>
      </c>
      <c r="E2428" s="5">
        <v>6490.88</v>
      </c>
      <c r="F2428" s="3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s="7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 s="5">
        <v>25</v>
      </c>
      <c r="C2429">
        <v>64.930000000000007</v>
      </c>
      <c r="D2429">
        <v>4</v>
      </c>
      <c r="E2429" s="5">
        <v>1623.25</v>
      </c>
      <c r="F2429" s="3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s="7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 s="5">
        <v>24</v>
      </c>
      <c r="C2430">
        <v>58.58</v>
      </c>
      <c r="D2430">
        <v>9</v>
      </c>
      <c r="E2430" s="5">
        <v>1405.92</v>
      </c>
      <c r="F2430" s="3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s="7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 s="5">
        <v>38</v>
      </c>
      <c r="C2431">
        <v>60.06</v>
      </c>
      <c r="D2431">
        <v>10</v>
      </c>
      <c r="E2431" s="5">
        <v>2282.2800000000002</v>
      </c>
      <c r="F2431" s="3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s="7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 s="5">
        <v>45</v>
      </c>
      <c r="C2432">
        <v>100</v>
      </c>
      <c r="D2432">
        <v>3</v>
      </c>
      <c r="E2432" s="5">
        <v>8977.0499999999993</v>
      </c>
      <c r="F2432" s="3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s="7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 s="5">
        <v>51</v>
      </c>
      <c r="C2433">
        <v>63.85</v>
      </c>
      <c r="D2433">
        <v>4</v>
      </c>
      <c r="E2433" s="5">
        <v>3256.35</v>
      </c>
      <c r="F2433" s="3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 s="7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 s="5">
        <v>34</v>
      </c>
      <c r="C2434">
        <v>82.99</v>
      </c>
      <c r="D2434">
        <v>14</v>
      </c>
      <c r="E2434" s="5">
        <v>2821.66</v>
      </c>
      <c r="F2434" s="3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s="7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 s="5">
        <v>44</v>
      </c>
      <c r="C2435">
        <v>74.849999999999994</v>
      </c>
      <c r="D2435">
        <v>1</v>
      </c>
      <c r="E2435" s="5">
        <v>3293.4</v>
      </c>
      <c r="F2435" s="3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s="7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 s="5">
        <v>44</v>
      </c>
      <c r="C2436">
        <v>96</v>
      </c>
      <c r="D2436">
        <v>15</v>
      </c>
      <c r="E2436" s="5">
        <v>4224</v>
      </c>
      <c r="F2436" s="3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 s="7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 s="5">
        <v>38</v>
      </c>
      <c r="C2437">
        <v>81.36</v>
      </c>
      <c r="D2437">
        <v>2</v>
      </c>
      <c r="E2437" s="5">
        <v>3091.68</v>
      </c>
      <c r="F2437" s="3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 s="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 s="5">
        <v>31</v>
      </c>
      <c r="C2438">
        <v>71.599999999999994</v>
      </c>
      <c r="D2438">
        <v>10</v>
      </c>
      <c r="E2438" s="5">
        <v>2219.6</v>
      </c>
      <c r="F2438" s="3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 s="7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 s="5">
        <v>48</v>
      </c>
      <c r="C2439">
        <v>80.55</v>
      </c>
      <c r="D2439">
        <v>10</v>
      </c>
      <c r="E2439" s="5">
        <v>3866.4</v>
      </c>
      <c r="F2439" s="3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s="7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 s="5">
        <v>21</v>
      </c>
      <c r="C2440">
        <v>93.56</v>
      </c>
      <c r="D2440">
        <v>5</v>
      </c>
      <c r="E2440" s="5">
        <v>1964.76</v>
      </c>
      <c r="F2440" s="3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s="7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 s="5">
        <v>40</v>
      </c>
      <c r="C2441">
        <v>66.72</v>
      </c>
      <c r="D2441">
        <v>2</v>
      </c>
      <c r="E2441" s="5">
        <v>2668.8</v>
      </c>
      <c r="F2441" s="3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s="7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 s="5">
        <v>40</v>
      </c>
      <c r="C2442">
        <v>80.55</v>
      </c>
      <c r="D2442">
        <v>10</v>
      </c>
      <c r="E2442" s="5">
        <v>3222</v>
      </c>
      <c r="F2442" s="3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s="7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 s="5">
        <v>50</v>
      </c>
      <c r="C2443">
        <v>77.290000000000006</v>
      </c>
      <c r="D2443">
        <v>3</v>
      </c>
      <c r="E2443" s="5">
        <v>3864.5</v>
      </c>
      <c r="F2443" s="3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s="7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 s="5">
        <v>20</v>
      </c>
      <c r="C2444">
        <v>68.34</v>
      </c>
      <c r="D2444">
        <v>3</v>
      </c>
      <c r="E2444" s="5">
        <v>1366.8</v>
      </c>
      <c r="F2444" s="3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 s="7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 s="5">
        <v>48</v>
      </c>
      <c r="C2445">
        <v>72.41</v>
      </c>
      <c r="D2445">
        <v>7</v>
      </c>
      <c r="E2445" s="5">
        <v>3475.68</v>
      </c>
      <c r="F2445" s="3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s="7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 s="5">
        <v>47</v>
      </c>
      <c r="C2446">
        <v>89.5</v>
      </c>
      <c r="D2446">
        <v>5</v>
      </c>
      <c r="E2446" s="5">
        <v>4206.5</v>
      </c>
      <c r="F2446" s="3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 s="7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 s="5">
        <v>21</v>
      </c>
      <c r="C2447">
        <v>70.78</v>
      </c>
      <c r="D2447">
        <v>11</v>
      </c>
      <c r="E2447" s="5">
        <v>1486.38</v>
      </c>
      <c r="F2447" s="3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 s="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 s="5">
        <v>39</v>
      </c>
      <c r="C2448">
        <v>78.92</v>
      </c>
      <c r="D2448">
        <v>2</v>
      </c>
      <c r="E2448" s="5">
        <v>3077.88</v>
      </c>
      <c r="F2448" s="3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 s="7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 s="5">
        <v>44</v>
      </c>
      <c r="C2449">
        <v>80.55</v>
      </c>
      <c r="D2449">
        <v>5</v>
      </c>
      <c r="E2449" s="5">
        <v>3544.2</v>
      </c>
      <c r="F2449" s="3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s="7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 s="5">
        <v>28</v>
      </c>
      <c r="C2450">
        <v>88.68</v>
      </c>
      <c r="D2450">
        <v>1</v>
      </c>
      <c r="E2450" s="5">
        <v>2483.04</v>
      </c>
      <c r="F2450" s="3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s="7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 s="5">
        <v>45</v>
      </c>
      <c r="C2451">
        <v>77.290000000000006</v>
      </c>
      <c r="D2451">
        <v>6</v>
      </c>
      <c r="E2451" s="5">
        <v>3478.05</v>
      </c>
      <c r="F2451" s="3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 s="7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 s="5">
        <v>20</v>
      </c>
      <c r="C2452">
        <v>100</v>
      </c>
      <c r="D2452">
        <v>5</v>
      </c>
      <c r="E2452" s="5">
        <v>3657.8</v>
      </c>
      <c r="F2452" s="3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 s="7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 s="5">
        <v>38</v>
      </c>
      <c r="C2453">
        <v>100</v>
      </c>
      <c r="D2453">
        <v>3</v>
      </c>
      <c r="E2453" s="5">
        <v>4682.3599999999997</v>
      </c>
      <c r="F2453" s="3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s="7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 s="5">
        <v>26</v>
      </c>
      <c r="C2454">
        <v>100</v>
      </c>
      <c r="D2454">
        <v>4</v>
      </c>
      <c r="E2454" s="5">
        <v>3937.7</v>
      </c>
      <c r="F2454" s="3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s="7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 s="5">
        <v>44</v>
      </c>
      <c r="C2455">
        <v>100</v>
      </c>
      <c r="D2455">
        <v>2</v>
      </c>
      <c r="E2455" s="5">
        <v>4984.32</v>
      </c>
      <c r="F2455" s="3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 s="7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 s="5">
        <v>49</v>
      </c>
      <c r="C2456">
        <v>100</v>
      </c>
      <c r="D2456">
        <v>8</v>
      </c>
      <c r="E2456" s="5">
        <v>5406.66</v>
      </c>
      <c r="F2456" s="3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s="7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 s="5">
        <v>22</v>
      </c>
      <c r="C2457">
        <v>100</v>
      </c>
      <c r="D2457">
        <v>13</v>
      </c>
      <c r="E2457" s="5">
        <v>3491.18</v>
      </c>
      <c r="F2457" s="3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 s="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 s="5">
        <v>31</v>
      </c>
      <c r="C2458">
        <v>68.34</v>
      </c>
      <c r="D2458">
        <v>3</v>
      </c>
      <c r="E2458" s="5">
        <v>2118.54</v>
      </c>
      <c r="F2458" s="3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s="7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 s="5">
        <v>41</v>
      </c>
      <c r="C2459">
        <v>70.67</v>
      </c>
      <c r="D2459">
        <v>5</v>
      </c>
      <c r="E2459" s="5">
        <v>2897.47</v>
      </c>
      <c r="F2459" s="3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s="7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 s="5">
        <v>25</v>
      </c>
      <c r="C2460">
        <v>76.67</v>
      </c>
      <c r="D2460">
        <v>14</v>
      </c>
      <c r="E2460" s="5">
        <v>1916.75</v>
      </c>
      <c r="F2460" s="3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s="7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 s="5">
        <v>31</v>
      </c>
      <c r="C2461">
        <v>60</v>
      </c>
      <c r="D2461">
        <v>5</v>
      </c>
      <c r="E2461" s="5">
        <v>1860</v>
      </c>
      <c r="F2461" s="3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s="7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 s="5">
        <v>41</v>
      </c>
      <c r="C2462">
        <v>64</v>
      </c>
      <c r="D2462">
        <v>2</v>
      </c>
      <c r="E2462" s="5">
        <v>2624</v>
      </c>
      <c r="F2462" s="3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 s="7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 s="5">
        <v>43</v>
      </c>
      <c r="C2463">
        <v>64.67</v>
      </c>
      <c r="D2463">
        <v>1</v>
      </c>
      <c r="E2463" s="5">
        <v>2780.81</v>
      </c>
      <c r="F2463" s="3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s="7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 s="5">
        <v>43</v>
      </c>
      <c r="C2464">
        <v>75.34</v>
      </c>
      <c r="D2464">
        <v>12</v>
      </c>
      <c r="E2464" s="5">
        <v>3239.62</v>
      </c>
      <c r="F2464" s="3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s="7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 s="5">
        <v>24</v>
      </c>
      <c r="C2465">
        <v>76</v>
      </c>
      <c r="D2465">
        <v>3</v>
      </c>
      <c r="E2465" s="5">
        <v>1824</v>
      </c>
      <c r="F2465" s="3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s="7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 s="5">
        <v>21</v>
      </c>
      <c r="C2466">
        <v>54</v>
      </c>
      <c r="D2466">
        <v>3</v>
      </c>
      <c r="E2466" s="5">
        <v>1134</v>
      </c>
      <c r="F2466" s="3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 s="7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 s="5">
        <v>23</v>
      </c>
      <c r="C2467">
        <v>64.67</v>
      </c>
      <c r="D2467">
        <v>9</v>
      </c>
      <c r="E2467" s="5">
        <v>1487.41</v>
      </c>
      <c r="F2467" s="3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s="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 s="5">
        <v>38</v>
      </c>
      <c r="C2468">
        <v>74.67</v>
      </c>
      <c r="D2468">
        <v>3</v>
      </c>
      <c r="E2468" s="5">
        <v>2837.46</v>
      </c>
      <c r="F2468" s="3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s="7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 s="5">
        <v>31</v>
      </c>
      <c r="C2469">
        <v>62.67</v>
      </c>
      <c r="D2469">
        <v>15</v>
      </c>
      <c r="E2469" s="5">
        <v>1942.77</v>
      </c>
      <c r="F2469" s="3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 s="7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 s="5">
        <v>36</v>
      </c>
      <c r="C2470">
        <v>70.67</v>
      </c>
      <c r="D2470">
        <v>3</v>
      </c>
      <c r="E2470" s="5">
        <v>2544.12</v>
      </c>
      <c r="F2470" s="3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 s="7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 s="5">
        <v>36</v>
      </c>
      <c r="C2471">
        <v>71.34</v>
      </c>
      <c r="D2471">
        <v>6</v>
      </c>
      <c r="E2471" s="5">
        <v>2568.2399999999998</v>
      </c>
      <c r="F2471" s="3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 s="7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 s="5">
        <v>34</v>
      </c>
      <c r="C2472">
        <v>62</v>
      </c>
      <c r="D2472">
        <v>4</v>
      </c>
      <c r="E2472" s="5">
        <v>2108</v>
      </c>
      <c r="F2472" s="3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s="7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 s="5">
        <v>21</v>
      </c>
      <c r="C2473">
        <v>65.34</v>
      </c>
      <c r="D2473">
        <v>7</v>
      </c>
      <c r="E2473" s="5">
        <v>1372.14</v>
      </c>
      <c r="F2473" s="3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s="7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 s="5">
        <v>45</v>
      </c>
      <c r="C2474">
        <v>78.67</v>
      </c>
      <c r="D2474">
        <v>9</v>
      </c>
      <c r="E2474" s="5">
        <v>3540.15</v>
      </c>
      <c r="F2474" s="3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s="7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 s="5">
        <v>26</v>
      </c>
      <c r="C2475">
        <v>75.34</v>
      </c>
      <c r="D2475">
        <v>4</v>
      </c>
      <c r="E2475" s="5">
        <v>1958.84</v>
      </c>
      <c r="F2475" s="3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 s="7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 s="5">
        <v>50</v>
      </c>
      <c r="C2476">
        <v>54</v>
      </c>
      <c r="D2476">
        <v>3</v>
      </c>
      <c r="E2476" s="5">
        <v>2700</v>
      </c>
      <c r="F2476" s="3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s="7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 s="5">
        <v>41</v>
      </c>
      <c r="C2477">
        <v>62</v>
      </c>
      <c r="D2477">
        <v>2</v>
      </c>
      <c r="E2477" s="5">
        <v>2542</v>
      </c>
      <c r="F2477" s="3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s="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 s="5">
        <v>39</v>
      </c>
      <c r="C2478">
        <v>60</v>
      </c>
      <c r="D2478">
        <v>1</v>
      </c>
      <c r="E2478" s="5">
        <v>2340</v>
      </c>
      <c r="F2478" s="3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s="7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 s="5">
        <v>22</v>
      </c>
      <c r="C2479">
        <v>100</v>
      </c>
      <c r="D2479">
        <v>5</v>
      </c>
      <c r="E2479" s="5">
        <v>2816.44</v>
      </c>
      <c r="F2479" s="3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s="7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 s="5">
        <v>46</v>
      </c>
      <c r="C2480">
        <v>76.67</v>
      </c>
      <c r="D2480">
        <v>11</v>
      </c>
      <c r="E2480" s="5">
        <v>3526.82</v>
      </c>
      <c r="F2480" s="3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s="7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 s="5">
        <v>44</v>
      </c>
      <c r="C2481">
        <v>100</v>
      </c>
      <c r="D2481">
        <v>14</v>
      </c>
      <c r="E2481" s="5">
        <v>4627.92</v>
      </c>
      <c r="F2481" s="3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s="7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 s="5">
        <v>25</v>
      </c>
      <c r="C2482">
        <v>77.34</v>
      </c>
      <c r="D2482">
        <v>1</v>
      </c>
      <c r="E2482" s="5">
        <v>1933.5</v>
      </c>
      <c r="F2482" s="3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 s="7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 s="5">
        <v>39</v>
      </c>
      <c r="C2483">
        <v>66.67</v>
      </c>
      <c r="D2483">
        <v>1</v>
      </c>
      <c r="E2483" s="5">
        <v>2600.13</v>
      </c>
      <c r="F2483" s="3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 s="7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 s="5">
        <v>37</v>
      </c>
      <c r="C2484">
        <v>71.34</v>
      </c>
      <c r="D2484">
        <v>6</v>
      </c>
      <c r="E2484" s="5">
        <v>2639.58</v>
      </c>
      <c r="F2484" s="3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 s="7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 s="5">
        <v>31</v>
      </c>
      <c r="C2485">
        <v>100</v>
      </c>
      <c r="D2485">
        <v>7</v>
      </c>
      <c r="E2485" s="5">
        <v>3312.97</v>
      </c>
      <c r="F2485" s="3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s="7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 s="5">
        <v>47</v>
      </c>
      <c r="C2486">
        <v>82.21</v>
      </c>
      <c r="D2486">
        <v>13</v>
      </c>
      <c r="E2486" s="5">
        <v>3863.87</v>
      </c>
      <c r="F2486" s="3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s="7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 s="5">
        <v>24</v>
      </c>
      <c r="C2487">
        <v>77.64</v>
      </c>
      <c r="D2487">
        <v>8</v>
      </c>
      <c r="E2487" s="5">
        <v>1863.36</v>
      </c>
      <c r="F2487" s="3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s="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 s="5">
        <v>36</v>
      </c>
      <c r="C2488">
        <v>100</v>
      </c>
      <c r="D2488">
        <v>2</v>
      </c>
      <c r="E2488" s="5">
        <v>3945.96</v>
      </c>
      <c r="F2488" s="3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 s="7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 s="5">
        <v>48</v>
      </c>
      <c r="C2489">
        <v>100</v>
      </c>
      <c r="D2489">
        <v>2</v>
      </c>
      <c r="E2489" s="5">
        <v>4954.08</v>
      </c>
      <c r="F2489" s="3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s="7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 s="5">
        <v>28</v>
      </c>
      <c r="C2490">
        <v>98.65</v>
      </c>
      <c r="D2490">
        <v>14</v>
      </c>
      <c r="E2490" s="5">
        <v>2762.2</v>
      </c>
      <c r="F2490" s="3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 s="7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 s="5">
        <v>48</v>
      </c>
      <c r="C2491">
        <v>83.12</v>
      </c>
      <c r="D2491">
        <v>2</v>
      </c>
      <c r="E2491" s="5">
        <v>3989.76</v>
      </c>
      <c r="F2491" s="3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 s="7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 s="5">
        <v>21</v>
      </c>
      <c r="C2492">
        <v>78.55</v>
      </c>
      <c r="D2492">
        <v>12</v>
      </c>
      <c r="E2492" s="5">
        <v>1649.55</v>
      </c>
      <c r="F2492" s="3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s="7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 s="5">
        <v>25</v>
      </c>
      <c r="C2493">
        <v>100</v>
      </c>
      <c r="D2493">
        <v>14</v>
      </c>
      <c r="E2493" s="5">
        <v>2534.75</v>
      </c>
      <c r="F2493" s="3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s="7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 s="5">
        <v>25</v>
      </c>
      <c r="C2494">
        <v>100</v>
      </c>
      <c r="D2494">
        <v>8</v>
      </c>
      <c r="E2494" s="5">
        <v>2580.25</v>
      </c>
      <c r="F2494" s="3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s="7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 s="5">
        <v>31</v>
      </c>
      <c r="C2495">
        <v>91.34</v>
      </c>
      <c r="D2495">
        <v>9</v>
      </c>
      <c r="E2495" s="5">
        <v>2831.54</v>
      </c>
      <c r="F2495" s="3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 s="7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 s="5">
        <v>40</v>
      </c>
      <c r="C2496">
        <v>84.03</v>
      </c>
      <c r="D2496">
        <v>4</v>
      </c>
      <c r="E2496" s="5">
        <v>3361.2</v>
      </c>
      <c r="F2496" s="3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s="7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 s="5">
        <v>32</v>
      </c>
      <c r="C2497">
        <v>89.51</v>
      </c>
      <c r="D2497">
        <v>14</v>
      </c>
      <c r="E2497" s="5">
        <v>2864.32</v>
      </c>
      <c r="F2497" s="3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s="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 s="5">
        <v>24</v>
      </c>
      <c r="C2498">
        <v>83.12</v>
      </c>
      <c r="D2498">
        <v>6</v>
      </c>
      <c r="E2498" s="5">
        <v>1994.88</v>
      </c>
      <c r="F2498" s="3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s="7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 s="5">
        <v>42</v>
      </c>
      <c r="C2499">
        <v>100</v>
      </c>
      <c r="D2499">
        <v>2</v>
      </c>
      <c r="E2499" s="5">
        <v>4296.6000000000004</v>
      </c>
      <c r="F2499" s="3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s="7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 s="5">
        <v>21</v>
      </c>
      <c r="C2500">
        <v>100</v>
      </c>
      <c r="D2500">
        <v>12</v>
      </c>
      <c r="E2500" s="5">
        <v>2224.9499999999998</v>
      </c>
      <c r="F2500" s="3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 s="7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 s="5">
        <v>34</v>
      </c>
      <c r="C2501">
        <v>82.21</v>
      </c>
      <c r="D2501">
        <v>4</v>
      </c>
      <c r="E2501" s="5">
        <v>2795.14</v>
      </c>
      <c r="F2501" s="3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s="7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 s="5">
        <v>27</v>
      </c>
      <c r="C2502">
        <v>100</v>
      </c>
      <c r="D2502">
        <v>8</v>
      </c>
      <c r="E2502" s="5">
        <v>2762.1</v>
      </c>
      <c r="F2502" s="3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s="7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 s="5">
        <v>30</v>
      </c>
      <c r="C2503">
        <v>88.6</v>
      </c>
      <c r="D2503">
        <v>5</v>
      </c>
      <c r="E2503" s="5">
        <v>2658</v>
      </c>
      <c r="F2503" s="3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s="7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 s="5">
        <v>39</v>
      </c>
      <c r="C2504">
        <v>100</v>
      </c>
      <c r="D2504">
        <v>9</v>
      </c>
      <c r="E2504" s="5">
        <v>5043.87</v>
      </c>
      <c r="F2504" s="3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 s="7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 s="5">
        <v>20</v>
      </c>
      <c r="C2505">
        <v>60.54</v>
      </c>
      <c r="D2505">
        <v>4</v>
      </c>
      <c r="E2505" s="5">
        <v>1210.8</v>
      </c>
      <c r="F2505" s="3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s="7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 s="5">
        <v>37</v>
      </c>
      <c r="C2506">
        <v>81.87</v>
      </c>
      <c r="D2506">
        <v>6</v>
      </c>
      <c r="E2506" s="5">
        <v>3029.19</v>
      </c>
      <c r="F2506" s="3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s="7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 s="5">
        <v>46</v>
      </c>
      <c r="C2507">
        <v>100</v>
      </c>
      <c r="D2507">
        <v>2</v>
      </c>
      <c r="E2507" s="5">
        <v>10066.6</v>
      </c>
      <c r="F2507" s="3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 s="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 s="5">
        <v>47</v>
      </c>
      <c r="C2508">
        <v>87.69</v>
      </c>
      <c r="D2508">
        <v>6</v>
      </c>
      <c r="E2508" s="5">
        <v>4121.43</v>
      </c>
      <c r="F2508" s="3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s="7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 s="5">
        <v>11</v>
      </c>
      <c r="C2509">
        <v>100</v>
      </c>
      <c r="D2509">
        <v>8</v>
      </c>
      <c r="E2509" s="5">
        <v>1135.31</v>
      </c>
      <c r="F2509" s="3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 s="7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 s="5">
        <v>23</v>
      </c>
      <c r="C2510">
        <v>91.34</v>
      </c>
      <c r="D2510">
        <v>9</v>
      </c>
      <c r="E2510" s="5">
        <v>2100.8200000000002</v>
      </c>
      <c r="F2510" s="3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s="7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 s="5">
        <v>29</v>
      </c>
      <c r="C2511">
        <v>70.150000000000006</v>
      </c>
      <c r="D2511">
        <v>12</v>
      </c>
      <c r="E2511" s="5">
        <v>2034.35</v>
      </c>
      <c r="F2511" s="3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s="7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 s="5">
        <v>38</v>
      </c>
      <c r="C2512">
        <v>79.680000000000007</v>
      </c>
      <c r="D2512">
        <v>6</v>
      </c>
      <c r="E2512" s="5">
        <v>3027.84</v>
      </c>
      <c r="F2512" s="3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s="7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 s="5">
        <v>32</v>
      </c>
      <c r="C2513">
        <v>97</v>
      </c>
      <c r="D2513">
        <v>3</v>
      </c>
      <c r="E2513" s="5">
        <v>3104</v>
      </c>
      <c r="F2513" s="3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s="7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 s="5">
        <v>43</v>
      </c>
      <c r="C2514">
        <v>84.01</v>
      </c>
      <c r="D2514">
        <v>9</v>
      </c>
      <c r="E2514" s="5">
        <v>3612.43</v>
      </c>
      <c r="F2514" s="3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 s="7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 s="5">
        <v>31</v>
      </c>
      <c r="C2515">
        <v>87.48</v>
      </c>
      <c r="D2515">
        <v>8</v>
      </c>
      <c r="E2515" s="5">
        <v>2711.88</v>
      </c>
      <c r="F2515" s="3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s="7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 s="5">
        <v>29</v>
      </c>
      <c r="C2516">
        <v>100</v>
      </c>
      <c r="D2516">
        <v>3</v>
      </c>
      <c r="E2516" s="5">
        <v>3013.97</v>
      </c>
      <c r="F2516" s="3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 s="7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 s="5">
        <v>31</v>
      </c>
      <c r="C2517">
        <v>88.34</v>
      </c>
      <c r="D2517">
        <v>10</v>
      </c>
      <c r="E2517" s="5">
        <v>2738.54</v>
      </c>
      <c r="F2517" s="3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s="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 s="5">
        <v>30</v>
      </c>
      <c r="C2518">
        <v>94.4</v>
      </c>
      <c r="D2518">
        <v>10</v>
      </c>
      <c r="E2518" s="5">
        <v>2832</v>
      </c>
      <c r="F2518" s="3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 s="7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 s="5">
        <v>50</v>
      </c>
      <c r="C2519">
        <v>94.4</v>
      </c>
      <c r="D2519">
        <v>2</v>
      </c>
      <c r="E2519" s="5">
        <v>4720</v>
      </c>
      <c r="F2519" s="3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 s="7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 s="5">
        <v>40</v>
      </c>
      <c r="C2520">
        <v>80.55</v>
      </c>
      <c r="D2520">
        <v>10</v>
      </c>
      <c r="E2520" s="5">
        <v>3222</v>
      </c>
      <c r="F2520" s="3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s="7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 s="5">
        <v>23</v>
      </c>
      <c r="C2521">
        <v>97</v>
      </c>
      <c r="D2521">
        <v>4</v>
      </c>
      <c r="E2521" s="5">
        <v>2231</v>
      </c>
      <c r="F2521" s="3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s="7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 s="5">
        <v>26</v>
      </c>
      <c r="C2522">
        <v>88.34</v>
      </c>
      <c r="D2522">
        <v>7</v>
      </c>
      <c r="E2522" s="5">
        <v>2296.84</v>
      </c>
      <c r="F2522" s="3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s="7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 s="5">
        <v>40</v>
      </c>
      <c r="C2523">
        <v>100</v>
      </c>
      <c r="D2523">
        <v>13</v>
      </c>
      <c r="E2523" s="5">
        <v>4157.2</v>
      </c>
      <c r="F2523" s="3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 s="7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 s="5">
        <v>21</v>
      </c>
      <c r="C2524">
        <v>100</v>
      </c>
      <c r="D2524">
        <v>14</v>
      </c>
      <c r="E2524" s="5">
        <v>2146.1999999999998</v>
      </c>
      <c r="F2524" s="3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s="7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 s="5">
        <v>43</v>
      </c>
      <c r="C2525">
        <v>86.61</v>
      </c>
      <c r="D2525">
        <v>2</v>
      </c>
      <c r="E2525" s="5">
        <v>3724.23</v>
      </c>
      <c r="F2525" s="3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 s="7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 s="5">
        <v>29</v>
      </c>
      <c r="C2526">
        <v>71.89</v>
      </c>
      <c r="D2526">
        <v>5</v>
      </c>
      <c r="E2526" s="5">
        <v>2084.81</v>
      </c>
      <c r="F2526" s="3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s="7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 s="5">
        <v>38</v>
      </c>
      <c r="C2527">
        <v>91.81</v>
      </c>
      <c r="D2527">
        <v>10</v>
      </c>
      <c r="E2527" s="5">
        <v>3488.78</v>
      </c>
      <c r="F2527" s="3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s="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 s="5">
        <v>23</v>
      </c>
      <c r="C2528">
        <v>76.22</v>
      </c>
      <c r="D2528">
        <v>2</v>
      </c>
      <c r="E2528" s="5">
        <v>1753.06</v>
      </c>
      <c r="F2528" s="3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s="7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 s="5">
        <v>20</v>
      </c>
      <c r="C2529">
        <v>100</v>
      </c>
      <c r="D2529">
        <v>7</v>
      </c>
      <c r="E2529" s="5">
        <v>3469.2</v>
      </c>
      <c r="F2529" s="3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s="7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 s="5">
        <v>36</v>
      </c>
      <c r="C2530">
        <v>70.3</v>
      </c>
      <c r="D2530">
        <v>9</v>
      </c>
      <c r="E2530" s="5">
        <v>2530.8000000000002</v>
      </c>
      <c r="F2530" s="3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 s="7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 s="5">
        <v>28</v>
      </c>
      <c r="C2531">
        <v>100</v>
      </c>
      <c r="D2531">
        <v>4</v>
      </c>
      <c r="E2531" s="5">
        <v>2924.32</v>
      </c>
      <c r="F2531" s="3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s="7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 s="5">
        <v>44</v>
      </c>
      <c r="C2532">
        <v>100</v>
      </c>
      <c r="D2532">
        <v>2</v>
      </c>
      <c r="E2532" s="5">
        <v>4496.8</v>
      </c>
      <c r="F2532" s="3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s="7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 s="5">
        <v>49</v>
      </c>
      <c r="C2533">
        <v>100</v>
      </c>
      <c r="D2533">
        <v>1</v>
      </c>
      <c r="E2533" s="5">
        <v>6397.44</v>
      </c>
      <c r="F2533" s="3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 s="7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 s="5">
        <v>32</v>
      </c>
      <c r="C2534">
        <v>80.55</v>
      </c>
      <c r="D2534">
        <v>5</v>
      </c>
      <c r="E2534" s="5">
        <v>2577.6</v>
      </c>
      <c r="F2534" s="3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s="7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 s="5">
        <v>34</v>
      </c>
      <c r="C2535">
        <v>100</v>
      </c>
      <c r="D2535">
        <v>13</v>
      </c>
      <c r="E2535" s="5">
        <v>3533.62</v>
      </c>
      <c r="F2535" s="3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 s="7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 s="5">
        <v>30</v>
      </c>
      <c r="C2536">
        <v>100</v>
      </c>
      <c r="D2536">
        <v>16</v>
      </c>
      <c r="E2536" s="5">
        <v>3177.3</v>
      </c>
      <c r="F2536" s="3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s="7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 s="5">
        <v>29</v>
      </c>
      <c r="C2537">
        <v>94.14</v>
      </c>
      <c r="D2537">
        <v>7</v>
      </c>
      <c r="E2537" s="5">
        <v>2730.06</v>
      </c>
      <c r="F2537" s="3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s="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 s="5">
        <v>22</v>
      </c>
      <c r="C2538">
        <v>85.99</v>
      </c>
      <c r="D2538">
        <v>8</v>
      </c>
      <c r="E2538" s="5">
        <v>1891.78</v>
      </c>
      <c r="F2538" s="3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 s="7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 s="5">
        <v>26</v>
      </c>
      <c r="C2539">
        <v>100</v>
      </c>
      <c r="D2539">
        <v>11</v>
      </c>
      <c r="E2539" s="5">
        <v>2612.48</v>
      </c>
      <c r="F2539" s="3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 s="7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 s="5">
        <v>32</v>
      </c>
      <c r="C2540">
        <v>91.43</v>
      </c>
      <c r="D2540">
        <v>9</v>
      </c>
      <c r="E2540" s="5">
        <v>2925.76</v>
      </c>
      <c r="F2540" s="3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s="7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 s="5">
        <v>29</v>
      </c>
      <c r="C2541">
        <v>100</v>
      </c>
      <c r="D2541">
        <v>5</v>
      </c>
      <c r="E2541" s="5">
        <v>2940.02</v>
      </c>
      <c r="F2541" s="3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s="7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 s="5">
        <v>34</v>
      </c>
      <c r="C2542">
        <v>96.86</v>
      </c>
      <c r="D2542">
        <v>8</v>
      </c>
      <c r="E2542" s="5">
        <v>3293.24</v>
      </c>
      <c r="F2542" s="3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s="7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 s="5">
        <v>24</v>
      </c>
      <c r="C2543">
        <v>99.57</v>
      </c>
      <c r="D2543">
        <v>5</v>
      </c>
      <c r="E2543" s="5">
        <v>2389.6799999999998</v>
      </c>
      <c r="F2543" s="3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s="7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 s="5">
        <v>24</v>
      </c>
      <c r="C2544">
        <v>90.52</v>
      </c>
      <c r="D2544">
        <v>2</v>
      </c>
      <c r="E2544" s="5">
        <v>2172.48</v>
      </c>
      <c r="F2544" s="3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s="7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 s="5">
        <v>33</v>
      </c>
      <c r="C2545">
        <v>88.71</v>
      </c>
      <c r="D2545">
        <v>4</v>
      </c>
      <c r="E2545" s="5">
        <v>2927.43</v>
      </c>
      <c r="F2545" s="3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 s="7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 s="5">
        <v>26</v>
      </c>
      <c r="C2546">
        <v>100</v>
      </c>
      <c r="D2546">
        <v>8</v>
      </c>
      <c r="E2546" s="5">
        <v>2659.54</v>
      </c>
      <c r="F2546" s="3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 s="7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 s="5">
        <v>40</v>
      </c>
      <c r="C2547">
        <v>95.95</v>
      </c>
      <c r="D2547">
        <v>4</v>
      </c>
      <c r="E2547" s="5">
        <v>3838</v>
      </c>
      <c r="F2547" s="3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 s="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 s="5">
        <v>44</v>
      </c>
      <c r="C2548">
        <v>94.14</v>
      </c>
      <c r="D2548">
        <v>13</v>
      </c>
      <c r="E2548" s="5">
        <v>4142.16</v>
      </c>
      <c r="F2548" s="3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s="7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 s="5">
        <v>24</v>
      </c>
      <c r="C2549">
        <v>90.52</v>
      </c>
      <c r="D2549">
        <v>5</v>
      </c>
      <c r="E2549" s="5">
        <v>2172.48</v>
      </c>
      <c r="F2549" s="3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 s="7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 s="5">
        <v>20</v>
      </c>
      <c r="C2550">
        <v>94.14</v>
      </c>
      <c r="D2550">
        <v>2</v>
      </c>
      <c r="E2550" s="5">
        <v>1882.8</v>
      </c>
      <c r="F2550" s="3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s="7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 s="5">
        <v>34</v>
      </c>
      <c r="C2551">
        <v>100</v>
      </c>
      <c r="D2551">
        <v>11</v>
      </c>
      <c r="E2551" s="5">
        <v>3477.86</v>
      </c>
      <c r="F2551" s="3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s="7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 s="5">
        <v>34</v>
      </c>
      <c r="C2552">
        <v>97.76</v>
      </c>
      <c r="D2552">
        <v>5</v>
      </c>
      <c r="E2552" s="5">
        <v>3323.84</v>
      </c>
      <c r="F2552" s="3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 s="7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 s="5">
        <v>45</v>
      </c>
      <c r="C2553">
        <v>93.24</v>
      </c>
      <c r="D2553">
        <v>13</v>
      </c>
      <c r="E2553" s="5">
        <v>4195.8</v>
      </c>
      <c r="F2553" s="3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s="7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 s="5">
        <v>41</v>
      </c>
      <c r="C2554">
        <v>100</v>
      </c>
      <c r="D2554">
        <v>9</v>
      </c>
      <c r="E2554" s="5">
        <v>4156.58</v>
      </c>
      <c r="F2554" s="3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s="7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 s="5">
        <v>55</v>
      </c>
      <c r="C2555">
        <v>71.25</v>
      </c>
      <c r="D2555">
        <v>15</v>
      </c>
      <c r="E2555" s="5">
        <v>3918.75</v>
      </c>
      <c r="F2555" s="3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s="7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 s="5">
        <v>23</v>
      </c>
      <c r="C2556">
        <v>100</v>
      </c>
      <c r="D2556">
        <v>3</v>
      </c>
      <c r="E2556" s="5">
        <v>2352.67</v>
      </c>
      <c r="F2556" s="3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 s="7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 s="5">
        <v>24</v>
      </c>
      <c r="C2557">
        <v>45.39</v>
      </c>
      <c r="D2557">
        <v>14</v>
      </c>
      <c r="E2557" s="5">
        <v>1089.3599999999999</v>
      </c>
      <c r="F2557" s="3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s="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 s="5">
        <v>32</v>
      </c>
      <c r="C2558">
        <v>84.41</v>
      </c>
      <c r="D2558">
        <v>15</v>
      </c>
      <c r="E2558" s="5">
        <v>2701.12</v>
      </c>
      <c r="F2558" s="3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s="7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 s="5">
        <v>29</v>
      </c>
      <c r="C2559">
        <v>85.76</v>
      </c>
      <c r="D2559">
        <v>13</v>
      </c>
      <c r="E2559" s="5">
        <v>2487.04</v>
      </c>
      <c r="F2559" s="3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s="7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 s="5">
        <v>36</v>
      </c>
      <c r="C2560">
        <v>100</v>
      </c>
      <c r="D2560">
        <v>7</v>
      </c>
      <c r="E2560" s="5">
        <v>3910.32</v>
      </c>
      <c r="F2560" s="3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s="7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 s="5">
        <v>46</v>
      </c>
      <c r="C2561">
        <v>87.8</v>
      </c>
      <c r="D2561">
        <v>5</v>
      </c>
      <c r="E2561" s="5">
        <v>4038.8</v>
      </c>
      <c r="F2561" s="3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 s="7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 s="5">
        <v>32</v>
      </c>
      <c r="C2562">
        <v>95.95</v>
      </c>
      <c r="D2562">
        <v>4</v>
      </c>
      <c r="E2562" s="5">
        <v>3070.4</v>
      </c>
      <c r="F2562" s="3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s="7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 s="5">
        <v>34</v>
      </c>
      <c r="C2563">
        <v>100</v>
      </c>
      <c r="D2563">
        <v>9</v>
      </c>
      <c r="E2563" s="5">
        <v>3763.46</v>
      </c>
      <c r="F2563" s="3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s="7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 s="5">
        <v>24</v>
      </c>
      <c r="C2564">
        <v>100</v>
      </c>
      <c r="D2564">
        <v>15</v>
      </c>
      <c r="E2564" s="5">
        <v>2584.8000000000002</v>
      </c>
      <c r="F2564" s="3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s="7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 s="5">
        <v>40</v>
      </c>
      <c r="C2565">
        <v>100</v>
      </c>
      <c r="D2565">
        <v>1</v>
      </c>
      <c r="E2565" s="5">
        <v>4427.6000000000004</v>
      </c>
      <c r="F2565" s="3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 s="7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 s="5">
        <v>26</v>
      </c>
      <c r="C2566">
        <v>82.77</v>
      </c>
      <c r="D2566">
        <v>4</v>
      </c>
      <c r="E2566" s="5">
        <v>2152.02</v>
      </c>
      <c r="F2566" s="3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 s="7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 s="5">
        <v>20</v>
      </c>
      <c r="C2567">
        <v>100</v>
      </c>
      <c r="D2567">
        <v>2</v>
      </c>
      <c r="E2567" s="5">
        <v>2353.4</v>
      </c>
      <c r="F2567" s="3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s="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 s="5">
        <v>31</v>
      </c>
      <c r="C2568">
        <v>100</v>
      </c>
      <c r="D2568">
        <v>16</v>
      </c>
      <c r="E2568" s="5">
        <v>3431.39</v>
      </c>
      <c r="F2568" s="3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 s="7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 s="5">
        <v>22</v>
      </c>
      <c r="C2569">
        <v>87.75</v>
      </c>
      <c r="D2569">
        <v>1</v>
      </c>
      <c r="E2569" s="5">
        <v>1930.5</v>
      </c>
      <c r="F2569" s="3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s="7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 s="5">
        <v>42</v>
      </c>
      <c r="C2570">
        <v>100</v>
      </c>
      <c r="D2570">
        <v>1</v>
      </c>
      <c r="E2570" s="5">
        <v>4774.5600000000004</v>
      </c>
      <c r="F2570" s="3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s="7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 s="5">
        <v>26</v>
      </c>
      <c r="C2571">
        <v>99.72</v>
      </c>
      <c r="D2571">
        <v>14</v>
      </c>
      <c r="E2571" s="5">
        <v>2592.7199999999998</v>
      </c>
      <c r="F2571" s="3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s="7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 s="5">
        <v>37</v>
      </c>
      <c r="C2572">
        <v>87.75</v>
      </c>
      <c r="D2572">
        <v>1</v>
      </c>
      <c r="E2572" s="5">
        <v>3246.75</v>
      </c>
      <c r="F2572" s="3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 s="7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 s="5">
        <v>38</v>
      </c>
      <c r="C2573">
        <v>88.75</v>
      </c>
      <c r="D2573">
        <v>10</v>
      </c>
      <c r="E2573" s="5">
        <v>3372.5</v>
      </c>
      <c r="F2573" s="3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s="7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 s="5">
        <v>35</v>
      </c>
      <c r="C2574">
        <v>100</v>
      </c>
      <c r="D2574">
        <v>11</v>
      </c>
      <c r="E2574" s="5">
        <v>3909.15</v>
      </c>
      <c r="F2574" s="3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 s="7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 s="5">
        <v>33</v>
      </c>
      <c r="C2575">
        <v>90.75</v>
      </c>
      <c r="D2575">
        <v>6</v>
      </c>
      <c r="E2575" s="5">
        <v>2994.75</v>
      </c>
      <c r="F2575" s="3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s="7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 s="5">
        <v>39</v>
      </c>
      <c r="C2576">
        <v>100</v>
      </c>
      <c r="D2576">
        <v>16</v>
      </c>
      <c r="E2576" s="5">
        <v>4472.5200000000004</v>
      </c>
      <c r="F2576" s="3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s="7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 s="5">
        <v>45</v>
      </c>
      <c r="C2577">
        <v>100</v>
      </c>
      <c r="D2577">
        <v>8</v>
      </c>
      <c r="E2577" s="5">
        <v>4576.95</v>
      </c>
      <c r="F2577" s="3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s="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 s="5">
        <v>24</v>
      </c>
      <c r="C2578">
        <v>100</v>
      </c>
      <c r="D2578">
        <v>4</v>
      </c>
      <c r="E2578" s="5">
        <v>2441.04</v>
      </c>
      <c r="F2578" s="3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s="7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 s="5">
        <v>35</v>
      </c>
      <c r="C2579">
        <v>88.75</v>
      </c>
      <c r="D2579">
        <v>14</v>
      </c>
      <c r="E2579" s="5">
        <v>3106.25</v>
      </c>
      <c r="F2579" s="3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 s="7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 s="5">
        <v>23</v>
      </c>
      <c r="C2580">
        <v>100</v>
      </c>
      <c r="D2580">
        <v>6</v>
      </c>
      <c r="E2580" s="5">
        <v>2706.41</v>
      </c>
      <c r="F2580" s="3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s="7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 s="5">
        <v>37</v>
      </c>
      <c r="C2581">
        <v>100</v>
      </c>
      <c r="D2581">
        <v>10</v>
      </c>
      <c r="E2581" s="5">
        <v>4021.53</v>
      </c>
      <c r="F2581" s="3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s="7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 s="5">
        <v>55</v>
      </c>
      <c r="C2582">
        <v>87.75</v>
      </c>
      <c r="D2582">
        <v>7</v>
      </c>
      <c r="E2582" s="5">
        <v>4826.25</v>
      </c>
      <c r="F2582" s="3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s="7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 s="5">
        <v>49</v>
      </c>
      <c r="C2583">
        <v>100</v>
      </c>
      <c r="D2583">
        <v>2</v>
      </c>
      <c r="E2583" s="5">
        <v>4935.28</v>
      </c>
      <c r="F2583" s="3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 s="7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 s="5">
        <v>26</v>
      </c>
      <c r="C2584">
        <v>100</v>
      </c>
      <c r="D2584">
        <v>9</v>
      </c>
      <c r="E2584" s="5">
        <v>2754.7</v>
      </c>
      <c r="F2584" s="3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s="7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 s="5">
        <v>33</v>
      </c>
      <c r="C2585">
        <v>100</v>
      </c>
      <c r="D2585">
        <v>1</v>
      </c>
      <c r="E2585" s="5">
        <v>3856.71</v>
      </c>
      <c r="F2585" s="3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s="7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 s="5">
        <v>37</v>
      </c>
      <c r="C2586">
        <v>83.84</v>
      </c>
      <c r="D2586">
        <v>14</v>
      </c>
      <c r="E2586" s="5">
        <v>3102.08</v>
      </c>
      <c r="F2586" s="3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s="7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 s="5">
        <v>22</v>
      </c>
      <c r="C2587">
        <v>86.76</v>
      </c>
      <c r="D2587">
        <v>8</v>
      </c>
      <c r="E2587" s="5">
        <v>1908.72</v>
      </c>
      <c r="F2587" s="3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s="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 s="5">
        <v>85</v>
      </c>
      <c r="C2588">
        <v>88.75</v>
      </c>
      <c r="D2588">
        <v>10</v>
      </c>
      <c r="E2588" s="5">
        <v>7543.75</v>
      </c>
      <c r="F2588" s="3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 s="7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 s="5">
        <v>22</v>
      </c>
      <c r="C2589">
        <v>100</v>
      </c>
      <c r="D2589">
        <v>11</v>
      </c>
      <c r="E2589" s="5">
        <v>2457.1799999999998</v>
      </c>
      <c r="F2589" s="3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s="7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 s="5">
        <v>31</v>
      </c>
      <c r="C2590">
        <v>65.77</v>
      </c>
      <c r="D2590">
        <v>3</v>
      </c>
      <c r="E2590" s="5">
        <v>2038.87</v>
      </c>
      <c r="F2590" s="3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s="7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 s="5">
        <v>38</v>
      </c>
      <c r="C2591">
        <v>65.77</v>
      </c>
      <c r="D2591">
        <v>12</v>
      </c>
      <c r="E2591" s="5">
        <v>2499.2600000000002</v>
      </c>
      <c r="F2591" s="3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s="7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 s="5">
        <v>45</v>
      </c>
      <c r="C2592">
        <v>85.29</v>
      </c>
      <c r="D2592">
        <v>3</v>
      </c>
      <c r="E2592" s="5">
        <v>3838.05</v>
      </c>
      <c r="F2592" s="3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s="7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 s="5">
        <v>31</v>
      </c>
      <c r="C2593">
        <v>85.29</v>
      </c>
      <c r="D2593">
        <v>16</v>
      </c>
      <c r="E2593" s="5">
        <v>2643.99</v>
      </c>
      <c r="F2593" s="3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 s="7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 s="5">
        <v>36</v>
      </c>
      <c r="C2594">
        <v>64.33</v>
      </c>
      <c r="D2594">
        <v>1</v>
      </c>
      <c r="E2594" s="5">
        <v>2315.88</v>
      </c>
      <c r="F2594" s="3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 s="7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 s="5">
        <v>46</v>
      </c>
      <c r="C2595">
        <v>70.11</v>
      </c>
      <c r="D2595">
        <v>10</v>
      </c>
      <c r="E2595" s="5">
        <v>3225.06</v>
      </c>
      <c r="F2595" s="3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s="7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 s="5">
        <v>32</v>
      </c>
      <c r="C2596">
        <v>76.62</v>
      </c>
      <c r="D2596">
        <v>1</v>
      </c>
      <c r="E2596" s="5">
        <v>2451.84</v>
      </c>
      <c r="F2596" s="3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s="7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 s="5">
        <v>39</v>
      </c>
      <c r="C2597">
        <v>57.82</v>
      </c>
      <c r="D2597">
        <v>1</v>
      </c>
      <c r="E2597" s="5">
        <v>2254.98</v>
      </c>
      <c r="F2597" s="3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 s="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 s="5">
        <v>50</v>
      </c>
      <c r="C2598">
        <v>78.790000000000006</v>
      </c>
      <c r="D2598">
        <v>7</v>
      </c>
      <c r="E2598" s="5">
        <v>3939.5</v>
      </c>
      <c r="F2598" s="3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s="7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 s="5">
        <v>46</v>
      </c>
      <c r="C2599">
        <v>74.45</v>
      </c>
      <c r="D2599">
        <v>1</v>
      </c>
      <c r="E2599" s="5">
        <v>3424.7</v>
      </c>
      <c r="F2599" s="3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s="7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 s="5">
        <v>36</v>
      </c>
      <c r="C2600">
        <v>80.95</v>
      </c>
      <c r="D2600">
        <v>13</v>
      </c>
      <c r="E2600" s="5">
        <v>2914.2</v>
      </c>
      <c r="F2600" s="3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 s="7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 s="5">
        <v>29</v>
      </c>
      <c r="C2601">
        <v>82.4</v>
      </c>
      <c r="D2601">
        <v>1</v>
      </c>
      <c r="E2601" s="5">
        <v>2389.6</v>
      </c>
      <c r="F2601" s="3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 s="7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 s="5">
        <v>32</v>
      </c>
      <c r="C2602">
        <v>75.89</v>
      </c>
      <c r="D2602">
        <v>4</v>
      </c>
      <c r="E2602" s="5">
        <v>2428.48</v>
      </c>
      <c r="F2602" s="3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 s="7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 s="5">
        <v>44</v>
      </c>
      <c r="C2603">
        <v>68.67</v>
      </c>
      <c r="D2603">
        <v>2</v>
      </c>
      <c r="E2603" s="5">
        <v>3021.48</v>
      </c>
      <c r="F2603" s="3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s="7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 s="5">
        <v>42</v>
      </c>
      <c r="C2604">
        <v>62.16</v>
      </c>
      <c r="D2604">
        <v>5</v>
      </c>
      <c r="E2604" s="5">
        <v>2610.7199999999998</v>
      </c>
      <c r="F2604" s="3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s="7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 s="5">
        <v>47</v>
      </c>
      <c r="C2605">
        <v>65.77</v>
      </c>
      <c r="D2605">
        <v>7</v>
      </c>
      <c r="E2605" s="5">
        <v>3091.19</v>
      </c>
      <c r="F2605" s="3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s="7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 s="5">
        <v>44</v>
      </c>
      <c r="C2606">
        <v>58.55</v>
      </c>
      <c r="D2606">
        <v>2</v>
      </c>
      <c r="E2606" s="5">
        <v>2576.1999999999998</v>
      </c>
      <c r="F2606" s="3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 s="7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 s="5">
        <v>43</v>
      </c>
      <c r="C2607">
        <v>75.17</v>
      </c>
      <c r="D2607">
        <v>1</v>
      </c>
      <c r="E2607" s="5">
        <v>3232.31</v>
      </c>
      <c r="F2607" s="3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s="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 s="5">
        <v>48</v>
      </c>
      <c r="C2608">
        <v>74.45</v>
      </c>
      <c r="D2608">
        <v>18</v>
      </c>
      <c r="E2608" s="5">
        <v>3573.6</v>
      </c>
      <c r="F2608" s="3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s="7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 s="5">
        <v>21</v>
      </c>
      <c r="C2609">
        <v>96.31</v>
      </c>
      <c r="D2609">
        <v>1</v>
      </c>
      <c r="E2609" s="5">
        <v>2022.51</v>
      </c>
      <c r="F2609" s="3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s="7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 s="5">
        <v>50</v>
      </c>
      <c r="C2610">
        <v>74.349999999999994</v>
      </c>
      <c r="D2610">
        <v>9</v>
      </c>
      <c r="E2610" s="5">
        <v>3717.5</v>
      </c>
      <c r="F2610" s="3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s="7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 s="5">
        <v>29</v>
      </c>
      <c r="C2611">
        <v>75.349999999999994</v>
      </c>
      <c r="D2611">
        <v>12</v>
      </c>
      <c r="E2611" s="5">
        <v>2185.15</v>
      </c>
      <c r="F2611" s="3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s="7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 s="5">
        <v>41</v>
      </c>
      <c r="C2612">
        <v>70.33</v>
      </c>
      <c r="D2612">
        <v>16</v>
      </c>
      <c r="E2612" s="5">
        <v>2883.53</v>
      </c>
      <c r="F2612" s="3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s="7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 s="5">
        <v>37</v>
      </c>
      <c r="C2613">
        <v>100</v>
      </c>
      <c r="D2613">
        <v>10</v>
      </c>
      <c r="E2613" s="5">
        <v>5017.57</v>
      </c>
      <c r="F2613" s="3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s="7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 s="5">
        <v>22</v>
      </c>
      <c r="C2614">
        <v>66.5</v>
      </c>
      <c r="D2614">
        <v>4</v>
      </c>
      <c r="E2614" s="5">
        <v>1463</v>
      </c>
      <c r="F2614" s="3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s="7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 s="5">
        <v>31</v>
      </c>
      <c r="C2615">
        <v>75.89</v>
      </c>
      <c r="D2615">
        <v>4</v>
      </c>
      <c r="E2615" s="5">
        <v>2352.59</v>
      </c>
      <c r="F2615" s="3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 s="7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 s="5">
        <v>42</v>
      </c>
      <c r="C2616">
        <v>100</v>
      </c>
      <c r="D2616">
        <v>6</v>
      </c>
      <c r="E2616" s="5">
        <v>4460.82</v>
      </c>
      <c r="F2616" s="3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s="7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 s="5">
        <v>42</v>
      </c>
      <c r="C2617">
        <v>100</v>
      </c>
      <c r="D2617">
        <v>10</v>
      </c>
      <c r="E2617" s="5">
        <v>4758.18</v>
      </c>
      <c r="F2617" s="3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s="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 s="5">
        <v>45</v>
      </c>
      <c r="C2618">
        <v>100</v>
      </c>
      <c r="D2618">
        <v>6</v>
      </c>
      <c r="E2618" s="5">
        <v>4597.2</v>
      </c>
      <c r="F2618" s="3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s="7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 s="5">
        <v>36</v>
      </c>
      <c r="C2619">
        <v>100</v>
      </c>
      <c r="D2619">
        <v>6</v>
      </c>
      <c r="E2619" s="5">
        <v>4114.8</v>
      </c>
      <c r="F2619" s="3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 s="7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 s="5">
        <v>20</v>
      </c>
      <c r="C2620">
        <v>100</v>
      </c>
      <c r="D2620">
        <v>3</v>
      </c>
      <c r="E2620" s="5">
        <v>2104</v>
      </c>
      <c r="F2620" s="3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s="7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 s="5">
        <v>39</v>
      </c>
      <c r="C2621">
        <v>81.93</v>
      </c>
      <c r="D2621">
        <v>4</v>
      </c>
      <c r="E2621" s="5">
        <v>3195.27</v>
      </c>
      <c r="F2621" s="3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s="7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 s="5">
        <v>42</v>
      </c>
      <c r="C2622">
        <v>85.98</v>
      </c>
      <c r="D2622">
        <v>11</v>
      </c>
      <c r="E2622" s="5">
        <v>3611.16</v>
      </c>
      <c r="F2622" s="3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s="7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 s="5">
        <v>23</v>
      </c>
      <c r="C2623">
        <v>86.99</v>
      </c>
      <c r="D2623">
        <v>3</v>
      </c>
      <c r="E2623" s="5">
        <v>2000.77</v>
      </c>
      <c r="F2623" s="3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 s="7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 s="5">
        <v>26</v>
      </c>
      <c r="C2624">
        <v>89.01</v>
      </c>
      <c r="D2624">
        <v>6</v>
      </c>
      <c r="E2624" s="5">
        <v>2314.2600000000002</v>
      </c>
      <c r="F2624" s="3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s="7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 s="5">
        <v>33</v>
      </c>
      <c r="C2625">
        <v>100</v>
      </c>
      <c r="D2625">
        <v>1</v>
      </c>
      <c r="E2625" s="5">
        <v>3871.89</v>
      </c>
      <c r="F2625" s="3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s="7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 s="5">
        <v>31</v>
      </c>
      <c r="C2626">
        <v>88</v>
      </c>
      <c r="D2626">
        <v>6</v>
      </c>
      <c r="E2626" s="5">
        <v>2728</v>
      </c>
      <c r="F2626" s="3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s="7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 s="5">
        <v>50</v>
      </c>
      <c r="C2627">
        <v>100</v>
      </c>
      <c r="D2627">
        <v>11</v>
      </c>
      <c r="E2627" s="5">
        <v>5614</v>
      </c>
      <c r="F2627" s="3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 s="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 s="5">
        <v>44</v>
      </c>
      <c r="C2628">
        <v>100</v>
      </c>
      <c r="D2628">
        <v>4</v>
      </c>
      <c r="E2628" s="5">
        <v>4628.8</v>
      </c>
      <c r="F2628" s="3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 s="7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 s="5">
        <v>45</v>
      </c>
      <c r="C2629">
        <v>80.92</v>
      </c>
      <c r="D2629">
        <v>1</v>
      </c>
      <c r="E2629" s="5">
        <v>3641.4</v>
      </c>
      <c r="F2629" s="3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s="7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 s="5">
        <v>46</v>
      </c>
      <c r="C2630">
        <v>88</v>
      </c>
      <c r="D2630">
        <v>4</v>
      </c>
      <c r="E2630" s="5">
        <v>4048</v>
      </c>
      <c r="F2630" s="3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s="7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 s="5">
        <v>27</v>
      </c>
      <c r="C2631">
        <v>85.98</v>
      </c>
      <c r="D2631">
        <v>11</v>
      </c>
      <c r="E2631" s="5">
        <v>2321.46</v>
      </c>
      <c r="F2631" s="3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 s="7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 s="5">
        <v>28</v>
      </c>
      <c r="C2632">
        <v>100</v>
      </c>
      <c r="D2632">
        <v>6</v>
      </c>
      <c r="E2632" s="5">
        <v>3256.96</v>
      </c>
      <c r="F2632" s="3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s="7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 s="5">
        <v>40</v>
      </c>
      <c r="C2633">
        <v>100</v>
      </c>
      <c r="D2633">
        <v>1</v>
      </c>
      <c r="E2633" s="5">
        <v>4208</v>
      </c>
      <c r="F2633" s="3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s="7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 s="5">
        <v>30</v>
      </c>
      <c r="C2634">
        <v>99.13</v>
      </c>
      <c r="D2634">
        <v>9</v>
      </c>
      <c r="E2634" s="5">
        <v>2973.9</v>
      </c>
      <c r="F2634" s="3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s="7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 s="5">
        <v>34</v>
      </c>
      <c r="C2635">
        <v>100</v>
      </c>
      <c r="D2635">
        <v>5</v>
      </c>
      <c r="E2635" s="5">
        <v>4248.3</v>
      </c>
      <c r="F2635" s="3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 s="7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 s="5">
        <v>46</v>
      </c>
      <c r="C2636">
        <v>100</v>
      </c>
      <c r="D2636">
        <v>2</v>
      </c>
      <c r="E2636" s="5">
        <v>9558.7999999999993</v>
      </c>
      <c r="F2636" s="3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s="7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 s="5">
        <v>32</v>
      </c>
      <c r="C2637">
        <v>82.83</v>
      </c>
      <c r="D2637">
        <v>7</v>
      </c>
      <c r="E2637" s="5">
        <v>2650.56</v>
      </c>
      <c r="F2637" s="3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s="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 s="5">
        <v>27</v>
      </c>
      <c r="C2638">
        <v>100</v>
      </c>
      <c r="D2638">
        <v>3</v>
      </c>
      <c r="E2638" s="5">
        <v>3761.37</v>
      </c>
      <c r="F2638" s="3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s="7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 s="5">
        <v>34</v>
      </c>
      <c r="C2639">
        <v>100</v>
      </c>
      <c r="D2639">
        <v>3</v>
      </c>
      <c r="E2639" s="5">
        <v>4301.34</v>
      </c>
      <c r="F2639" s="3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 s="7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 s="5">
        <v>34</v>
      </c>
      <c r="C2640">
        <v>54.84</v>
      </c>
      <c r="D2640">
        <v>9</v>
      </c>
      <c r="E2640" s="5">
        <v>1864.56</v>
      </c>
      <c r="F2640" s="3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 s="7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 s="5">
        <v>34</v>
      </c>
      <c r="C2641">
        <v>100</v>
      </c>
      <c r="D2641">
        <v>4</v>
      </c>
      <c r="E2641" s="5">
        <v>3576.8</v>
      </c>
      <c r="F2641" s="3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s="7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 s="5">
        <v>46</v>
      </c>
      <c r="C2642">
        <v>80.92</v>
      </c>
      <c r="D2642">
        <v>1</v>
      </c>
      <c r="E2642" s="5">
        <v>3722.32</v>
      </c>
      <c r="F2642" s="3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s="7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 s="5">
        <v>32</v>
      </c>
      <c r="C2643">
        <v>100</v>
      </c>
      <c r="D2643">
        <v>1</v>
      </c>
      <c r="E2643" s="5">
        <v>3986.56</v>
      </c>
      <c r="F2643" s="3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s="7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 s="5">
        <v>24</v>
      </c>
      <c r="C2644">
        <v>100</v>
      </c>
      <c r="D2644">
        <v>7</v>
      </c>
      <c r="E2644" s="5">
        <v>3417.12</v>
      </c>
      <c r="F2644" s="3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s="7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 s="5">
        <v>27</v>
      </c>
      <c r="C2645">
        <v>99.67</v>
      </c>
      <c r="D2645">
        <v>2</v>
      </c>
      <c r="E2645" s="5">
        <v>2691.09</v>
      </c>
      <c r="F2645" s="3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s="7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 s="5">
        <v>20</v>
      </c>
      <c r="C2646">
        <v>100</v>
      </c>
      <c r="D2646">
        <v>13</v>
      </c>
      <c r="E2646" s="5">
        <v>2752.6</v>
      </c>
      <c r="F2646" s="3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 s="7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 s="5">
        <v>36</v>
      </c>
      <c r="C2647">
        <v>100</v>
      </c>
      <c r="D2647">
        <v>8</v>
      </c>
      <c r="E2647" s="5">
        <v>4527.72</v>
      </c>
      <c r="F2647" s="3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 s="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 s="5">
        <v>29</v>
      </c>
      <c r="C2648">
        <v>100</v>
      </c>
      <c r="D2648">
        <v>8</v>
      </c>
      <c r="E2648" s="5">
        <v>3957.05</v>
      </c>
      <c r="F2648" s="3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s="7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 s="5">
        <v>25</v>
      </c>
      <c r="C2649">
        <v>100</v>
      </c>
      <c r="D2649">
        <v>6</v>
      </c>
      <c r="E2649" s="5">
        <v>2818</v>
      </c>
      <c r="F2649" s="3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s="7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 s="5">
        <v>29</v>
      </c>
      <c r="C2650">
        <v>100</v>
      </c>
      <c r="D2650">
        <v>8</v>
      </c>
      <c r="E2650" s="5">
        <v>3199.86</v>
      </c>
      <c r="F2650" s="3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s="7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 s="5">
        <v>25</v>
      </c>
      <c r="C2651">
        <v>96.11</v>
      </c>
      <c r="D2651">
        <v>2</v>
      </c>
      <c r="E2651" s="5">
        <v>2402.75</v>
      </c>
      <c r="F2651" s="3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s="7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 s="5">
        <v>44</v>
      </c>
      <c r="C2652">
        <v>100</v>
      </c>
      <c r="D2652">
        <v>3</v>
      </c>
      <c r="E2652" s="5">
        <v>6055.72</v>
      </c>
      <c r="F2652" s="3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 s="7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 s="5">
        <v>47</v>
      </c>
      <c r="C2653">
        <v>100</v>
      </c>
      <c r="D2653">
        <v>9</v>
      </c>
      <c r="E2653" s="5">
        <v>5465.16</v>
      </c>
      <c r="F2653" s="3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 s="7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 s="5">
        <v>48</v>
      </c>
      <c r="C2654">
        <v>100</v>
      </c>
      <c r="D2654">
        <v>8</v>
      </c>
      <c r="E2654" s="5">
        <v>6378.72</v>
      </c>
      <c r="F2654" s="3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s="7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 s="5">
        <v>45</v>
      </c>
      <c r="C2655">
        <v>100</v>
      </c>
      <c r="D2655">
        <v>13</v>
      </c>
      <c r="E2655" s="5">
        <v>5392.8</v>
      </c>
      <c r="F2655" s="3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 s="7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 s="5">
        <v>35</v>
      </c>
      <c r="C2656">
        <v>100</v>
      </c>
      <c r="D2656">
        <v>3</v>
      </c>
      <c r="E2656" s="5">
        <v>3986.5</v>
      </c>
      <c r="F2656" s="3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s="7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 s="5">
        <v>31</v>
      </c>
      <c r="C2657">
        <v>100</v>
      </c>
      <c r="D2657">
        <v>6</v>
      </c>
      <c r="E2657" s="5">
        <v>4009.23</v>
      </c>
      <c r="F2657" s="3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 s="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 s="5">
        <v>50</v>
      </c>
      <c r="C2658">
        <v>100</v>
      </c>
      <c r="D2658">
        <v>8</v>
      </c>
      <c r="E2658" s="5">
        <v>7119</v>
      </c>
      <c r="F2658" s="3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 s="7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 s="5">
        <v>33</v>
      </c>
      <c r="C2659">
        <v>100</v>
      </c>
      <c r="D2659">
        <v>11</v>
      </c>
      <c r="E2659" s="5">
        <v>4072.2</v>
      </c>
      <c r="F2659" s="3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s="7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 s="5">
        <v>29</v>
      </c>
      <c r="C2660">
        <v>100</v>
      </c>
      <c r="D2660">
        <v>6</v>
      </c>
      <c r="E2660" s="5">
        <v>4094.51</v>
      </c>
      <c r="F2660" s="3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s="7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 s="5">
        <v>48</v>
      </c>
      <c r="C2661">
        <v>68.8</v>
      </c>
      <c r="D2661">
        <v>4</v>
      </c>
      <c r="E2661" s="5">
        <v>3302.4</v>
      </c>
      <c r="F2661" s="3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 s="7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 s="5">
        <v>44</v>
      </c>
      <c r="C2662">
        <v>72.42</v>
      </c>
      <c r="D2662">
        <v>5</v>
      </c>
      <c r="E2662" s="5">
        <v>3186.48</v>
      </c>
      <c r="F2662" s="3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s="7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 s="5">
        <v>25</v>
      </c>
      <c r="C2663">
        <v>66.73</v>
      </c>
      <c r="D2663">
        <v>10</v>
      </c>
      <c r="E2663" s="5">
        <v>1668.25</v>
      </c>
      <c r="F2663" s="3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s="7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 s="5">
        <v>50</v>
      </c>
      <c r="C2664">
        <v>100</v>
      </c>
      <c r="D2664">
        <v>3</v>
      </c>
      <c r="E2664" s="5">
        <v>7154.5</v>
      </c>
      <c r="F2664" s="3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 s="7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 s="5">
        <v>23</v>
      </c>
      <c r="C2665">
        <v>100</v>
      </c>
      <c r="D2665">
        <v>9</v>
      </c>
      <c r="E2665" s="5">
        <v>2810.83</v>
      </c>
      <c r="F2665" s="3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s="7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 s="5">
        <v>21</v>
      </c>
      <c r="C2666">
        <v>96.11</v>
      </c>
      <c r="D2666">
        <v>2</v>
      </c>
      <c r="E2666" s="5">
        <v>2018.31</v>
      </c>
      <c r="F2666" s="3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 s="7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 s="5">
        <v>41</v>
      </c>
      <c r="C2667">
        <v>100</v>
      </c>
      <c r="D2667">
        <v>3</v>
      </c>
      <c r="E2667" s="5">
        <v>5642.83</v>
      </c>
      <c r="F2667" s="3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s="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 s="5">
        <v>44</v>
      </c>
      <c r="C2668">
        <v>74.400000000000006</v>
      </c>
      <c r="D2668">
        <v>8</v>
      </c>
      <c r="E2668" s="5">
        <v>3273.6</v>
      </c>
      <c r="F2668" s="3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s="7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 s="5">
        <v>43</v>
      </c>
      <c r="C2669">
        <v>76</v>
      </c>
      <c r="D2669">
        <v>14</v>
      </c>
      <c r="E2669" s="5">
        <v>3268</v>
      </c>
      <c r="F2669" s="3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s="7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 s="5">
        <v>28</v>
      </c>
      <c r="C2670">
        <v>96</v>
      </c>
      <c r="D2670">
        <v>3</v>
      </c>
      <c r="E2670" s="5">
        <v>2688</v>
      </c>
      <c r="F2670" s="3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 s="7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 s="5">
        <v>43</v>
      </c>
      <c r="C2671">
        <v>86.4</v>
      </c>
      <c r="D2671">
        <v>1</v>
      </c>
      <c r="E2671" s="5">
        <v>3715.2</v>
      </c>
      <c r="F2671" s="3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s="7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 s="5">
        <v>48</v>
      </c>
      <c r="C2672">
        <v>96</v>
      </c>
      <c r="D2672">
        <v>15</v>
      </c>
      <c r="E2672" s="5">
        <v>4608</v>
      </c>
      <c r="F2672" s="3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 s="7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 s="5">
        <v>38</v>
      </c>
      <c r="C2673">
        <v>82.4</v>
      </c>
      <c r="D2673">
        <v>3</v>
      </c>
      <c r="E2673" s="5">
        <v>3131.2</v>
      </c>
      <c r="F2673" s="3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 s="7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 s="5">
        <v>31</v>
      </c>
      <c r="C2674">
        <v>86.4</v>
      </c>
      <c r="D2674">
        <v>13</v>
      </c>
      <c r="E2674" s="5">
        <v>2678.4</v>
      </c>
      <c r="F2674" s="3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s="7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 s="5">
        <v>26</v>
      </c>
      <c r="C2675">
        <v>67.2</v>
      </c>
      <c r="D2675">
        <v>15</v>
      </c>
      <c r="E2675" s="5">
        <v>1747.2</v>
      </c>
      <c r="F2675" s="3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s="7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 s="5">
        <v>32</v>
      </c>
      <c r="C2676">
        <v>92</v>
      </c>
      <c r="D2676">
        <v>9</v>
      </c>
      <c r="E2676" s="5">
        <v>2944</v>
      </c>
      <c r="F2676" s="3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s="7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 s="5">
        <v>44</v>
      </c>
      <c r="C2677">
        <v>67.2</v>
      </c>
      <c r="D2677">
        <v>10</v>
      </c>
      <c r="E2677" s="5">
        <v>2956.8</v>
      </c>
      <c r="F2677" s="3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 s="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 s="5">
        <v>27</v>
      </c>
      <c r="C2678">
        <v>76</v>
      </c>
      <c r="D2678">
        <v>5</v>
      </c>
      <c r="E2678" s="5">
        <v>2052</v>
      </c>
      <c r="F2678" s="3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s="7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 s="5">
        <v>43</v>
      </c>
      <c r="C2679">
        <v>73.599999999999994</v>
      </c>
      <c r="D2679">
        <v>15</v>
      </c>
      <c r="E2679" s="5">
        <v>3164.8</v>
      </c>
      <c r="F2679" s="3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s="7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 s="5">
        <v>25</v>
      </c>
      <c r="C2680">
        <v>69.599999999999994</v>
      </c>
      <c r="D2680">
        <v>7</v>
      </c>
      <c r="E2680" s="5">
        <v>1740</v>
      </c>
      <c r="F2680" s="3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s="7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 s="5">
        <v>22</v>
      </c>
      <c r="C2681">
        <v>80.8</v>
      </c>
      <c r="D2681">
        <v>3</v>
      </c>
      <c r="E2681" s="5">
        <v>1777.6</v>
      </c>
      <c r="F2681" s="3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s="7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 s="5">
        <v>21</v>
      </c>
      <c r="C2682">
        <v>87.2</v>
      </c>
      <c r="D2682">
        <v>13</v>
      </c>
      <c r="E2682" s="5">
        <v>1831.2</v>
      </c>
      <c r="F2682" s="3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 s="7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 s="5">
        <v>48</v>
      </c>
      <c r="C2683">
        <v>75.2</v>
      </c>
      <c r="D2683">
        <v>5</v>
      </c>
      <c r="E2683" s="5">
        <v>3609.6</v>
      </c>
      <c r="F2683" s="3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s="7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 s="5">
        <v>33</v>
      </c>
      <c r="C2684">
        <v>64</v>
      </c>
      <c r="D2684">
        <v>13</v>
      </c>
      <c r="E2684" s="5">
        <v>2112</v>
      </c>
      <c r="F2684" s="3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s="7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 s="5">
        <v>34</v>
      </c>
      <c r="C2685">
        <v>100</v>
      </c>
      <c r="D2685">
        <v>5</v>
      </c>
      <c r="E2685" s="5">
        <v>3644.12</v>
      </c>
      <c r="F2685" s="3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s="7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 s="5">
        <v>43</v>
      </c>
      <c r="C2686">
        <v>81.95</v>
      </c>
      <c r="D2686">
        <v>6</v>
      </c>
      <c r="E2686" s="5">
        <v>3523.85</v>
      </c>
      <c r="F2686" s="3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 s="7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 s="5">
        <v>44</v>
      </c>
      <c r="C2687">
        <v>100</v>
      </c>
      <c r="D2687">
        <v>10</v>
      </c>
      <c r="E2687" s="5">
        <v>5001.92</v>
      </c>
      <c r="F2687" s="3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s="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 s="5">
        <v>44</v>
      </c>
      <c r="C2688">
        <v>100</v>
      </c>
      <c r="D2688">
        <v>11</v>
      </c>
      <c r="E2688" s="5">
        <v>5208.72</v>
      </c>
      <c r="F2688" s="3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s="7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 s="5">
        <v>32</v>
      </c>
      <c r="C2689">
        <v>94.34</v>
      </c>
      <c r="D2689">
        <v>17</v>
      </c>
      <c r="E2689" s="5">
        <v>3018.88</v>
      </c>
      <c r="F2689" s="3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s="7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 s="5">
        <v>29</v>
      </c>
      <c r="C2690">
        <v>65.599999999999994</v>
      </c>
      <c r="D2690">
        <v>10</v>
      </c>
      <c r="E2690" s="5">
        <v>1902.4</v>
      </c>
      <c r="F2690" s="3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s="7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 s="5">
        <v>77</v>
      </c>
      <c r="C2691">
        <v>92</v>
      </c>
      <c r="D2691">
        <v>9</v>
      </c>
      <c r="E2691" s="5">
        <v>7084</v>
      </c>
      <c r="F2691" s="3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 s="7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 s="5">
        <v>39</v>
      </c>
      <c r="C2692">
        <v>67.2</v>
      </c>
      <c r="D2692">
        <v>10</v>
      </c>
      <c r="E2692" s="5">
        <v>2620.8000000000002</v>
      </c>
      <c r="F2692" s="3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s="7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 s="5">
        <v>39</v>
      </c>
      <c r="C2693">
        <v>81.14</v>
      </c>
      <c r="D2693">
        <v>6</v>
      </c>
      <c r="E2693" s="5">
        <v>3164.46</v>
      </c>
      <c r="F2693" s="3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s="7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 s="5">
        <v>36</v>
      </c>
      <c r="C2694">
        <v>100</v>
      </c>
      <c r="D2694">
        <v>1</v>
      </c>
      <c r="E2694" s="5">
        <v>4219.2</v>
      </c>
      <c r="F2694" s="3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s="7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 s="5">
        <v>42</v>
      </c>
      <c r="C2695">
        <v>91.15</v>
      </c>
      <c r="D2695">
        <v>6</v>
      </c>
      <c r="E2695" s="5">
        <v>3828.3</v>
      </c>
      <c r="F2695" s="3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s="7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 s="5">
        <v>21</v>
      </c>
      <c r="C2696">
        <v>100</v>
      </c>
      <c r="D2696">
        <v>3</v>
      </c>
      <c r="E2696" s="5">
        <v>2334.9899999999998</v>
      </c>
      <c r="F2696" s="3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 s="7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 s="5">
        <v>50</v>
      </c>
      <c r="C2697">
        <v>88.15</v>
      </c>
      <c r="D2697">
        <v>2</v>
      </c>
      <c r="E2697" s="5">
        <v>4407.5</v>
      </c>
      <c r="F2697" s="3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s="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 s="5">
        <v>24</v>
      </c>
      <c r="C2698">
        <v>100</v>
      </c>
      <c r="D2698">
        <v>13</v>
      </c>
      <c r="E2698" s="5">
        <v>2812.8</v>
      </c>
      <c r="F2698" s="3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s="7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 s="5">
        <v>44</v>
      </c>
      <c r="C2699">
        <v>92.16</v>
      </c>
      <c r="D2699">
        <v>4</v>
      </c>
      <c r="E2699" s="5">
        <v>4055.04</v>
      </c>
      <c r="F2699" s="3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s="7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 s="5">
        <v>37</v>
      </c>
      <c r="C2700">
        <v>100</v>
      </c>
      <c r="D2700">
        <v>4</v>
      </c>
      <c r="E2700" s="5">
        <v>3891.66</v>
      </c>
      <c r="F2700" s="3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 s="7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 s="5">
        <v>27</v>
      </c>
      <c r="C2701">
        <v>92.16</v>
      </c>
      <c r="D2701">
        <v>10</v>
      </c>
      <c r="E2701" s="5">
        <v>2488.3200000000002</v>
      </c>
      <c r="F2701" s="3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s="7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 s="5">
        <v>37</v>
      </c>
      <c r="C2702">
        <v>100</v>
      </c>
      <c r="D2702">
        <v>4</v>
      </c>
      <c r="E2702" s="5">
        <v>4447.3999999999996</v>
      </c>
      <c r="F2702" s="3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s="7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 s="5">
        <v>38</v>
      </c>
      <c r="C2703">
        <v>100</v>
      </c>
      <c r="D2703">
        <v>16</v>
      </c>
      <c r="E2703" s="5">
        <v>4187.22</v>
      </c>
      <c r="F2703" s="3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 s="7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 s="5">
        <v>48</v>
      </c>
      <c r="C2704">
        <v>96.16</v>
      </c>
      <c r="D2704">
        <v>1</v>
      </c>
      <c r="E2704" s="5">
        <v>4615.68</v>
      </c>
      <c r="F2704" s="3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s="7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 s="5">
        <v>30</v>
      </c>
      <c r="C2705">
        <v>100</v>
      </c>
      <c r="D2705">
        <v>7</v>
      </c>
      <c r="E2705" s="5">
        <v>3245.4</v>
      </c>
      <c r="F2705" s="3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 s="7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 s="5">
        <v>25</v>
      </c>
      <c r="C2706">
        <v>88.15</v>
      </c>
      <c r="D2706">
        <v>5</v>
      </c>
      <c r="E2706" s="5">
        <v>2203.75</v>
      </c>
      <c r="F2706" s="3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s="7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 s="5">
        <v>40</v>
      </c>
      <c r="C2707">
        <v>86.15</v>
      </c>
      <c r="D2707">
        <v>8</v>
      </c>
      <c r="E2707" s="5">
        <v>3446</v>
      </c>
      <c r="F2707" s="3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s="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 s="5">
        <v>22</v>
      </c>
      <c r="C2708">
        <v>88.15</v>
      </c>
      <c r="D2708">
        <v>10</v>
      </c>
      <c r="E2708" s="5">
        <v>1939.3</v>
      </c>
      <c r="F2708" s="3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s="7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 s="5">
        <v>34</v>
      </c>
      <c r="C2709">
        <v>100</v>
      </c>
      <c r="D2709">
        <v>5</v>
      </c>
      <c r="E2709" s="5">
        <v>3473.78</v>
      </c>
      <c r="F2709" s="3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 s="7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 s="5">
        <v>32</v>
      </c>
      <c r="C2710">
        <v>90.15</v>
      </c>
      <c r="D2710">
        <v>4</v>
      </c>
      <c r="E2710" s="5">
        <v>2884.8</v>
      </c>
      <c r="F2710" s="3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s="7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 s="5">
        <v>31</v>
      </c>
      <c r="C2711">
        <v>86.15</v>
      </c>
      <c r="D2711">
        <v>3</v>
      </c>
      <c r="E2711" s="5">
        <v>2670.65</v>
      </c>
      <c r="F2711" s="3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s="7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 s="5">
        <v>43</v>
      </c>
      <c r="C2712">
        <v>80</v>
      </c>
      <c r="D2712">
        <v>2</v>
      </c>
      <c r="E2712" s="5">
        <v>3440</v>
      </c>
      <c r="F2712" s="3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s="7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 s="5">
        <v>31</v>
      </c>
      <c r="C2713">
        <v>89.38</v>
      </c>
      <c r="D2713">
        <v>1</v>
      </c>
      <c r="E2713" s="5">
        <v>2770.78</v>
      </c>
      <c r="F2713" s="3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 s="7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 s="5">
        <v>31</v>
      </c>
      <c r="C2714">
        <v>77.34</v>
      </c>
      <c r="D2714">
        <v>13</v>
      </c>
      <c r="E2714" s="5">
        <v>2397.54</v>
      </c>
      <c r="F2714" s="3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s="7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 s="5">
        <v>34</v>
      </c>
      <c r="C2715">
        <v>96.34</v>
      </c>
      <c r="D2715">
        <v>2</v>
      </c>
      <c r="E2715" s="5">
        <v>3275.56</v>
      </c>
      <c r="F2715" s="3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s="7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 s="5">
        <v>45</v>
      </c>
      <c r="C2716">
        <v>92.08</v>
      </c>
      <c r="D2716">
        <v>2</v>
      </c>
      <c r="E2716" s="5">
        <v>4143.6000000000004</v>
      </c>
      <c r="F2716" s="3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s="7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 s="5">
        <v>48</v>
      </c>
      <c r="C2717">
        <v>100</v>
      </c>
      <c r="D2717">
        <v>3</v>
      </c>
      <c r="E2717" s="5">
        <v>5192.6400000000003</v>
      </c>
      <c r="F2717" s="3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s="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 s="5">
        <v>28</v>
      </c>
      <c r="C2718">
        <v>100</v>
      </c>
      <c r="D2718">
        <v>7</v>
      </c>
      <c r="E2718" s="5">
        <v>3029.04</v>
      </c>
      <c r="F2718" s="3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 s="7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 s="5">
        <v>22</v>
      </c>
      <c r="C2719">
        <v>100</v>
      </c>
      <c r="D2719">
        <v>7</v>
      </c>
      <c r="E2719" s="5">
        <v>2556.1799999999998</v>
      </c>
      <c r="F2719" s="3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s="7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 s="5">
        <v>45</v>
      </c>
      <c r="C2720">
        <v>83.42</v>
      </c>
      <c r="D2720">
        <v>1</v>
      </c>
      <c r="E2720" s="5">
        <v>3753.9</v>
      </c>
      <c r="F2720" s="3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s="7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 s="5">
        <v>30</v>
      </c>
      <c r="C2721">
        <v>85.41</v>
      </c>
      <c r="D2721">
        <v>7</v>
      </c>
      <c r="E2721" s="5">
        <v>2562.3000000000002</v>
      </c>
      <c r="F2721" s="3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s="7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 s="5">
        <v>38</v>
      </c>
      <c r="C2722">
        <v>85.41</v>
      </c>
      <c r="D2722">
        <v>4</v>
      </c>
      <c r="E2722" s="5">
        <v>3245.58</v>
      </c>
      <c r="F2722" s="3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 s="7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 s="5">
        <v>20</v>
      </c>
      <c r="C2723">
        <v>100</v>
      </c>
      <c r="D2723">
        <v>3</v>
      </c>
      <c r="E2723" s="5">
        <v>2204.6</v>
      </c>
      <c r="F2723" s="3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s="7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 s="5">
        <v>28</v>
      </c>
      <c r="C2724">
        <v>100</v>
      </c>
      <c r="D2724">
        <v>14</v>
      </c>
      <c r="E2724" s="5">
        <v>3003</v>
      </c>
      <c r="F2724" s="3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s="7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 s="5">
        <v>24</v>
      </c>
      <c r="C2725">
        <v>100</v>
      </c>
      <c r="D2725">
        <v>5</v>
      </c>
      <c r="E2725" s="5">
        <v>2526.48</v>
      </c>
      <c r="F2725" s="3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s="7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 s="5">
        <v>22</v>
      </c>
      <c r="C2726">
        <v>79.45</v>
      </c>
      <c r="D2726">
        <v>5</v>
      </c>
      <c r="E2726" s="5">
        <v>1747.9</v>
      </c>
      <c r="F2726" s="3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 s="7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 s="5">
        <v>35</v>
      </c>
      <c r="C2727">
        <v>93.35</v>
      </c>
      <c r="D2727">
        <v>11</v>
      </c>
      <c r="E2727" s="5">
        <v>3267.25</v>
      </c>
      <c r="F2727" s="3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s="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 s="5">
        <v>33</v>
      </c>
      <c r="C2728">
        <v>85.41</v>
      </c>
      <c r="D2728">
        <v>5</v>
      </c>
      <c r="E2728" s="5">
        <v>2818.53</v>
      </c>
      <c r="F2728" s="3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s="7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 s="5">
        <v>31</v>
      </c>
      <c r="C2729">
        <v>95.34</v>
      </c>
      <c r="D2729">
        <v>17</v>
      </c>
      <c r="E2729" s="5">
        <v>2955.54</v>
      </c>
      <c r="F2729" s="3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 s="7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 s="5">
        <v>35</v>
      </c>
      <c r="C2730">
        <v>82.43</v>
      </c>
      <c r="D2730">
        <v>2</v>
      </c>
      <c r="E2730" s="5">
        <v>2885.05</v>
      </c>
      <c r="F2730" s="3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s="7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 s="5">
        <v>35</v>
      </c>
      <c r="C2731">
        <v>90.37</v>
      </c>
      <c r="D2731">
        <v>8</v>
      </c>
      <c r="E2731" s="5">
        <v>3162.95</v>
      </c>
      <c r="F2731" s="3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 s="7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 s="5">
        <v>50</v>
      </c>
      <c r="C2732">
        <v>81.430000000000007</v>
      </c>
      <c r="D2732">
        <v>6</v>
      </c>
      <c r="E2732" s="5">
        <v>4071.5</v>
      </c>
      <c r="F2732" s="3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s="7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 s="5">
        <v>26</v>
      </c>
      <c r="C2733">
        <v>100</v>
      </c>
      <c r="D2733">
        <v>9</v>
      </c>
      <c r="E2733" s="5">
        <v>2969.46</v>
      </c>
      <c r="F2733" s="3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s="7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 s="5">
        <v>38</v>
      </c>
      <c r="C2734">
        <v>89.38</v>
      </c>
      <c r="D2734">
        <v>11</v>
      </c>
      <c r="E2734" s="5">
        <v>3396.44</v>
      </c>
      <c r="F2734" s="3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s="7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 s="5">
        <v>45</v>
      </c>
      <c r="C2735">
        <v>100</v>
      </c>
      <c r="D2735">
        <v>1</v>
      </c>
      <c r="E2735" s="5">
        <v>4692.6000000000004</v>
      </c>
      <c r="F2735" s="3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 s="7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 s="5">
        <v>30</v>
      </c>
      <c r="C2736">
        <v>100</v>
      </c>
      <c r="D2736">
        <v>5</v>
      </c>
      <c r="E2736" s="5">
        <v>3515.7</v>
      </c>
      <c r="F2736" s="3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s="7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 s="5">
        <v>37</v>
      </c>
      <c r="C2737">
        <v>91.37</v>
      </c>
      <c r="D2737">
        <v>4</v>
      </c>
      <c r="E2737" s="5">
        <v>3380.69</v>
      </c>
      <c r="F2737" s="3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s="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 s="5">
        <v>37</v>
      </c>
      <c r="C2738">
        <v>86.61</v>
      </c>
      <c r="D2738">
        <v>3</v>
      </c>
      <c r="E2738" s="5">
        <v>3204.57</v>
      </c>
      <c r="F2738" s="3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s="7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 s="5">
        <v>36</v>
      </c>
      <c r="C2739">
        <v>71.89</v>
      </c>
      <c r="D2739">
        <v>7</v>
      </c>
      <c r="E2739" s="5">
        <v>2588.04</v>
      </c>
      <c r="F2739" s="3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 s="7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 s="5">
        <v>25</v>
      </c>
      <c r="C2740">
        <v>100</v>
      </c>
      <c r="D2740">
        <v>16</v>
      </c>
      <c r="E2740" s="5">
        <v>2854.75</v>
      </c>
      <c r="F2740" s="3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s="7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 s="5">
        <v>37</v>
      </c>
      <c r="C2741">
        <v>100</v>
      </c>
      <c r="D2741">
        <v>8</v>
      </c>
      <c r="E2741" s="5">
        <v>4025.6</v>
      </c>
      <c r="F2741" s="3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s="7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 s="5">
        <v>30</v>
      </c>
      <c r="C2742">
        <v>95.48</v>
      </c>
      <c r="D2742">
        <v>3</v>
      </c>
      <c r="E2742" s="5">
        <v>2864.4</v>
      </c>
      <c r="F2742" s="3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s="7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 s="5">
        <v>36</v>
      </c>
      <c r="C2743">
        <v>100</v>
      </c>
      <c r="D2743">
        <v>2</v>
      </c>
      <c r="E2743" s="5">
        <v>3789.72</v>
      </c>
      <c r="F2743" s="3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s="7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 s="5">
        <v>27</v>
      </c>
      <c r="C2744">
        <v>90.37</v>
      </c>
      <c r="D2744">
        <v>8</v>
      </c>
      <c r="E2744" s="5">
        <v>2439.9899999999998</v>
      </c>
      <c r="F2744" s="3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 s="7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 s="5">
        <v>48</v>
      </c>
      <c r="C2745">
        <v>61.44</v>
      </c>
      <c r="D2745">
        <v>10</v>
      </c>
      <c r="E2745" s="5">
        <v>2949.12</v>
      </c>
      <c r="F2745" s="3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s="7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 s="5">
        <v>26</v>
      </c>
      <c r="C2746">
        <v>59.22</v>
      </c>
      <c r="D2746">
        <v>1</v>
      </c>
      <c r="E2746" s="5">
        <v>1539.72</v>
      </c>
      <c r="F2746" s="3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s="7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 s="5">
        <v>26</v>
      </c>
      <c r="C2747">
        <v>85.13</v>
      </c>
      <c r="D2747">
        <v>2</v>
      </c>
      <c r="E2747" s="5">
        <v>2213.38</v>
      </c>
      <c r="F2747" s="3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 s="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 s="5">
        <v>34</v>
      </c>
      <c r="C2748">
        <v>85.87</v>
      </c>
      <c r="D2748">
        <v>5</v>
      </c>
      <c r="E2748" s="5">
        <v>2919.58</v>
      </c>
      <c r="F2748" s="3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 s="7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 s="5">
        <v>44</v>
      </c>
      <c r="C2749">
        <v>85.87</v>
      </c>
      <c r="D2749">
        <v>3</v>
      </c>
      <c r="E2749" s="5">
        <v>3778.28</v>
      </c>
      <c r="F2749" s="3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s="7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 s="5">
        <v>39</v>
      </c>
      <c r="C2750">
        <v>82.91</v>
      </c>
      <c r="D2750">
        <v>17</v>
      </c>
      <c r="E2750" s="5">
        <v>3233.49</v>
      </c>
      <c r="F2750" s="3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 s="7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 s="5">
        <v>45</v>
      </c>
      <c r="C2751">
        <v>76.25</v>
      </c>
      <c r="D2751">
        <v>2</v>
      </c>
      <c r="E2751" s="5">
        <v>3431.25</v>
      </c>
      <c r="F2751" s="3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s="7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 s="5">
        <v>40</v>
      </c>
      <c r="C2752">
        <v>63.67</v>
      </c>
      <c r="D2752">
        <v>2</v>
      </c>
      <c r="E2752" s="5">
        <v>2546.8000000000002</v>
      </c>
      <c r="F2752" s="3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s="7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 s="5">
        <v>42</v>
      </c>
      <c r="C2753">
        <v>70.33</v>
      </c>
      <c r="D2753">
        <v>15</v>
      </c>
      <c r="E2753" s="5">
        <v>2953.86</v>
      </c>
      <c r="F2753" s="3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s="7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 s="5">
        <v>43</v>
      </c>
      <c r="C2754">
        <v>74.03</v>
      </c>
      <c r="D2754">
        <v>2</v>
      </c>
      <c r="E2754" s="5">
        <v>3183.29</v>
      </c>
      <c r="F2754" s="3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 s="7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 s="5">
        <v>34</v>
      </c>
      <c r="C2755">
        <v>72.55</v>
      </c>
      <c r="D2755">
        <v>11</v>
      </c>
      <c r="E2755" s="5">
        <v>2466.6999999999998</v>
      </c>
      <c r="F2755" s="3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s="7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 s="5">
        <v>38</v>
      </c>
      <c r="C2756">
        <v>62.19</v>
      </c>
      <c r="D2756">
        <v>12</v>
      </c>
      <c r="E2756" s="5">
        <v>2363.2199999999998</v>
      </c>
      <c r="F2756" s="3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 s="7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 s="5">
        <v>35</v>
      </c>
      <c r="C2757">
        <v>71.069999999999993</v>
      </c>
      <c r="D2757">
        <v>7</v>
      </c>
      <c r="E2757" s="5">
        <v>2487.4499999999998</v>
      </c>
      <c r="F2757" s="3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s="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 s="5">
        <v>31</v>
      </c>
      <c r="C2758">
        <v>72.55</v>
      </c>
      <c r="D2758">
        <v>17</v>
      </c>
      <c r="E2758" s="5">
        <v>2249.0500000000002</v>
      </c>
      <c r="F2758" s="3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s="7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 s="5">
        <v>32</v>
      </c>
      <c r="C2759">
        <v>64.41</v>
      </c>
      <c r="D2759">
        <v>9</v>
      </c>
      <c r="E2759" s="5">
        <v>2061.12</v>
      </c>
      <c r="F2759" s="3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s="7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 s="5">
        <v>47</v>
      </c>
      <c r="C2760">
        <v>86.62</v>
      </c>
      <c r="D2760">
        <v>5</v>
      </c>
      <c r="E2760" s="5">
        <v>4071.14</v>
      </c>
      <c r="F2760" s="3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s="7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 s="5">
        <v>39</v>
      </c>
      <c r="C2761">
        <v>68.11</v>
      </c>
      <c r="D2761">
        <v>15</v>
      </c>
      <c r="E2761" s="5">
        <v>2656.29</v>
      </c>
      <c r="F2761" s="3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 s="7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 s="5">
        <v>44</v>
      </c>
      <c r="C2762">
        <v>62.19</v>
      </c>
      <c r="D2762">
        <v>7</v>
      </c>
      <c r="E2762" s="5">
        <v>2736.36</v>
      </c>
      <c r="F2762" s="3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s="7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 s="5">
        <v>39</v>
      </c>
      <c r="C2763">
        <v>85.87</v>
      </c>
      <c r="D2763">
        <v>12</v>
      </c>
      <c r="E2763" s="5">
        <v>3348.93</v>
      </c>
      <c r="F2763" s="3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s="7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 s="5">
        <v>50</v>
      </c>
      <c r="C2764">
        <v>57.86</v>
      </c>
      <c r="D2764">
        <v>8</v>
      </c>
      <c r="E2764" s="5">
        <v>2893</v>
      </c>
      <c r="F2764" s="3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s="7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 s="5">
        <v>22</v>
      </c>
      <c r="C2765">
        <v>75.510000000000005</v>
      </c>
      <c r="D2765">
        <v>1</v>
      </c>
      <c r="E2765" s="5">
        <v>1661.22</v>
      </c>
      <c r="F2765" s="3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 s="7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 s="5">
        <v>35</v>
      </c>
      <c r="C2766">
        <v>100</v>
      </c>
      <c r="D2766">
        <v>11</v>
      </c>
      <c r="E2766" s="5">
        <v>4277.3500000000004</v>
      </c>
      <c r="F2766" s="3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s="7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 s="5">
        <v>45</v>
      </c>
      <c r="C2767">
        <v>55.62</v>
      </c>
      <c r="D2767">
        <v>17</v>
      </c>
      <c r="E2767" s="5">
        <v>2502.9</v>
      </c>
      <c r="F2767" s="3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s="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 s="5">
        <v>44</v>
      </c>
      <c r="C2768">
        <v>86.4</v>
      </c>
      <c r="D2768">
        <v>15</v>
      </c>
      <c r="E2768" s="5">
        <v>3801.6</v>
      </c>
      <c r="F2768" s="3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s="7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 s="5">
        <v>36</v>
      </c>
      <c r="C2769">
        <v>87.36</v>
      </c>
      <c r="D2769">
        <v>12</v>
      </c>
      <c r="E2769" s="5">
        <v>3144.96</v>
      </c>
      <c r="F2769" s="3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s="7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 s="5">
        <v>28</v>
      </c>
      <c r="C2770">
        <v>72.55</v>
      </c>
      <c r="D2770">
        <v>11</v>
      </c>
      <c r="E2770" s="5">
        <v>2031.4</v>
      </c>
      <c r="F2770" s="3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 s="7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 s="5">
        <v>43</v>
      </c>
      <c r="C2771">
        <v>62.19</v>
      </c>
      <c r="D2771">
        <v>12</v>
      </c>
      <c r="E2771" s="5">
        <v>2674.17</v>
      </c>
      <c r="F2771" s="3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s="7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 s="5">
        <v>48</v>
      </c>
      <c r="C2772">
        <v>52.64</v>
      </c>
      <c r="D2772">
        <v>15</v>
      </c>
      <c r="E2772" s="5">
        <v>2526.7199999999998</v>
      </c>
      <c r="F2772" s="3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s="7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 s="5">
        <v>28</v>
      </c>
      <c r="C2773">
        <v>48.17</v>
      </c>
      <c r="D2773">
        <v>6</v>
      </c>
      <c r="E2773" s="5">
        <v>1348.76</v>
      </c>
      <c r="F2773" s="3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s="7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 s="5">
        <v>21</v>
      </c>
      <c r="C2774">
        <v>41.71</v>
      </c>
      <c r="D2774">
        <v>7</v>
      </c>
      <c r="E2774" s="5">
        <v>875.91</v>
      </c>
      <c r="F2774" s="3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 s="7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 s="5">
        <v>37</v>
      </c>
      <c r="C2775">
        <v>50.65</v>
      </c>
      <c r="D2775">
        <v>10</v>
      </c>
      <c r="E2775" s="5">
        <v>1874.05</v>
      </c>
      <c r="F2775" s="3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 s="7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 s="5">
        <v>34</v>
      </c>
      <c r="C2776">
        <v>49.16</v>
      </c>
      <c r="D2776">
        <v>8</v>
      </c>
      <c r="E2776" s="5">
        <v>1671.44</v>
      </c>
      <c r="F2776" s="3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s="7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 s="5">
        <v>40</v>
      </c>
      <c r="C2777">
        <v>41.71</v>
      </c>
      <c r="D2777">
        <v>4</v>
      </c>
      <c r="E2777" s="5">
        <v>1668.4</v>
      </c>
      <c r="F2777" s="3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s="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 s="5">
        <v>45</v>
      </c>
      <c r="C2778">
        <v>51.15</v>
      </c>
      <c r="D2778">
        <v>7</v>
      </c>
      <c r="E2778" s="5">
        <v>2301.75</v>
      </c>
      <c r="F2778" s="3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s="7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 s="5">
        <v>28</v>
      </c>
      <c r="C2779">
        <v>52.14</v>
      </c>
      <c r="D2779">
        <v>4</v>
      </c>
      <c r="E2779" s="5">
        <v>1459.92</v>
      </c>
      <c r="F2779" s="3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s="7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 s="5">
        <v>29</v>
      </c>
      <c r="C2780">
        <v>41.71</v>
      </c>
      <c r="D2780">
        <v>1</v>
      </c>
      <c r="E2780" s="5">
        <v>1209.5899999999999</v>
      </c>
      <c r="F2780" s="3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s="7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 s="5">
        <v>48</v>
      </c>
      <c r="C2781">
        <v>44.69</v>
      </c>
      <c r="D2781">
        <v>3</v>
      </c>
      <c r="E2781" s="5">
        <v>2145.12</v>
      </c>
      <c r="F2781" s="3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 s="7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 s="5">
        <v>31</v>
      </c>
      <c r="C2782">
        <v>45.69</v>
      </c>
      <c r="D2782">
        <v>7</v>
      </c>
      <c r="E2782" s="5">
        <v>1416.39</v>
      </c>
      <c r="F2782" s="3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 s="7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 s="5">
        <v>32</v>
      </c>
      <c r="C2783">
        <v>57.61</v>
      </c>
      <c r="D2783">
        <v>3</v>
      </c>
      <c r="E2783" s="5">
        <v>1843.52</v>
      </c>
      <c r="F2783" s="3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 s="7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 s="5">
        <v>21</v>
      </c>
      <c r="C2784">
        <v>57.11</v>
      </c>
      <c r="D2784">
        <v>12</v>
      </c>
      <c r="E2784" s="5">
        <v>1199.31</v>
      </c>
      <c r="F2784" s="3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s="7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 s="5">
        <v>32</v>
      </c>
      <c r="C2785">
        <v>58.6</v>
      </c>
      <c r="D2785">
        <v>4</v>
      </c>
      <c r="E2785" s="5">
        <v>1875.2</v>
      </c>
      <c r="F2785" s="3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 s="7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 s="5">
        <v>43</v>
      </c>
      <c r="C2786">
        <v>57.61</v>
      </c>
      <c r="D2786">
        <v>1</v>
      </c>
      <c r="E2786" s="5">
        <v>2477.23</v>
      </c>
      <c r="F2786" s="3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s="7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 s="5">
        <v>21</v>
      </c>
      <c r="C2787">
        <v>45.19</v>
      </c>
      <c r="D2787">
        <v>10</v>
      </c>
      <c r="E2787" s="5">
        <v>948.99</v>
      </c>
      <c r="F2787" s="3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s="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 s="5">
        <v>34</v>
      </c>
      <c r="C2788">
        <v>53.63</v>
      </c>
      <c r="D2788">
        <v>4</v>
      </c>
      <c r="E2788" s="5">
        <v>1823.42</v>
      </c>
      <c r="F2788" s="3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 s="7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 s="5">
        <v>34</v>
      </c>
      <c r="C2789">
        <v>43.7</v>
      </c>
      <c r="D2789">
        <v>12</v>
      </c>
      <c r="E2789" s="5">
        <v>1485.8</v>
      </c>
      <c r="F2789" s="3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s="7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 s="5">
        <v>44</v>
      </c>
      <c r="C2790">
        <v>86.13</v>
      </c>
      <c r="D2790">
        <v>8</v>
      </c>
      <c r="E2790" s="5">
        <v>3789.72</v>
      </c>
      <c r="F2790" s="3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 s="7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 s="5">
        <v>27</v>
      </c>
      <c r="C2791">
        <v>76.31</v>
      </c>
      <c r="D2791">
        <v>6</v>
      </c>
      <c r="E2791" s="5">
        <v>2060.37</v>
      </c>
      <c r="F2791" s="3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s="7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 s="5">
        <v>49</v>
      </c>
      <c r="C2792">
        <v>52.64</v>
      </c>
      <c r="D2792">
        <v>4</v>
      </c>
      <c r="E2792" s="5">
        <v>2579.36</v>
      </c>
      <c r="F2792" s="3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 s="7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 s="5">
        <v>23</v>
      </c>
      <c r="C2793">
        <v>95.2</v>
      </c>
      <c r="D2793">
        <v>12</v>
      </c>
      <c r="E2793" s="5">
        <v>2189.6</v>
      </c>
      <c r="F2793" s="3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s="7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 s="5">
        <v>25</v>
      </c>
      <c r="C2794">
        <v>64.97</v>
      </c>
      <c r="D2794">
        <v>9</v>
      </c>
      <c r="E2794" s="5">
        <v>1624.25</v>
      </c>
      <c r="F2794" s="3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s="7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 s="5">
        <v>50</v>
      </c>
      <c r="C2795">
        <v>87.15</v>
      </c>
      <c r="D2795">
        <v>16</v>
      </c>
      <c r="E2795" s="5">
        <v>4357.5</v>
      </c>
      <c r="F2795" s="3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s="7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 s="5">
        <v>34</v>
      </c>
      <c r="C2796">
        <v>40.22</v>
      </c>
      <c r="D2796">
        <v>1</v>
      </c>
      <c r="E2796" s="5">
        <v>1367.48</v>
      </c>
      <c r="F2796" s="3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s="7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 s="5">
        <v>20</v>
      </c>
      <c r="C2797">
        <v>56.12</v>
      </c>
      <c r="D2797">
        <v>4</v>
      </c>
      <c r="E2797" s="5">
        <v>1122.4000000000001</v>
      </c>
      <c r="F2797" s="3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 s="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 s="5">
        <v>42</v>
      </c>
      <c r="C2798">
        <v>57.61</v>
      </c>
      <c r="D2798">
        <v>3</v>
      </c>
      <c r="E2798" s="5">
        <v>2419.62</v>
      </c>
      <c r="F2798" s="3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s="7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 s="5">
        <v>25</v>
      </c>
      <c r="C2799">
        <v>56.78</v>
      </c>
      <c r="D2799">
        <v>8</v>
      </c>
      <c r="E2799" s="5">
        <v>1419.5</v>
      </c>
      <c r="F2799" s="3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s="7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 s="5">
        <v>50</v>
      </c>
      <c r="C2800">
        <v>43.68</v>
      </c>
      <c r="D2800">
        <v>2</v>
      </c>
      <c r="E2800" s="5">
        <v>2184</v>
      </c>
      <c r="F2800" s="3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s="7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 s="5">
        <v>32</v>
      </c>
      <c r="C2801">
        <v>64.97</v>
      </c>
      <c r="D2801">
        <v>8</v>
      </c>
      <c r="E2801" s="5">
        <v>2079.04</v>
      </c>
      <c r="F2801" s="3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s="7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 s="5">
        <v>39</v>
      </c>
      <c r="C2802">
        <v>44.23</v>
      </c>
      <c r="D2802">
        <v>5</v>
      </c>
      <c r="E2802" s="5">
        <v>1724.97</v>
      </c>
      <c r="F2802" s="3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 s="7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 s="5">
        <v>50</v>
      </c>
      <c r="C2803">
        <v>60.06</v>
      </c>
      <c r="D2803">
        <v>4</v>
      </c>
      <c r="E2803" s="5">
        <v>3003</v>
      </c>
      <c r="F2803" s="3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s="7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 s="5">
        <v>38</v>
      </c>
      <c r="C2804">
        <v>48.59</v>
      </c>
      <c r="D2804">
        <v>15</v>
      </c>
      <c r="E2804" s="5">
        <v>1846.42</v>
      </c>
      <c r="F2804" s="3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s="7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 s="5">
        <v>40</v>
      </c>
      <c r="C2805">
        <v>50.23</v>
      </c>
      <c r="D2805">
        <v>6</v>
      </c>
      <c r="E2805" s="5">
        <v>2009.2</v>
      </c>
      <c r="F2805" s="3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s="7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 s="5">
        <v>28</v>
      </c>
      <c r="C2806">
        <v>64.430000000000007</v>
      </c>
      <c r="D2806">
        <v>6</v>
      </c>
      <c r="E2806" s="5">
        <v>1804.04</v>
      </c>
      <c r="F2806" s="3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 s="7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 s="5">
        <v>42</v>
      </c>
      <c r="C2807">
        <v>50.23</v>
      </c>
      <c r="D2807">
        <v>12</v>
      </c>
      <c r="E2807" s="5">
        <v>2109.66</v>
      </c>
      <c r="F2807" s="3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s="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 s="5">
        <v>42</v>
      </c>
      <c r="C2808">
        <v>63.88</v>
      </c>
      <c r="D2808">
        <v>6</v>
      </c>
      <c r="E2808" s="5">
        <v>2682.96</v>
      </c>
      <c r="F2808" s="3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s="7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 s="5">
        <v>36</v>
      </c>
      <c r="C2809">
        <v>63.34</v>
      </c>
      <c r="D2809">
        <v>18</v>
      </c>
      <c r="E2809" s="5">
        <v>2280.2399999999998</v>
      </c>
      <c r="F2809" s="3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 s="7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 s="5">
        <v>24</v>
      </c>
      <c r="C2810">
        <v>49.69</v>
      </c>
      <c r="D2810">
        <v>3</v>
      </c>
      <c r="E2810" s="5">
        <v>1192.56</v>
      </c>
      <c r="F2810" s="3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s="7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 s="5">
        <v>23</v>
      </c>
      <c r="C2811">
        <v>65.52</v>
      </c>
      <c r="D2811">
        <v>9</v>
      </c>
      <c r="E2811" s="5">
        <v>1506.96</v>
      </c>
      <c r="F2811" s="3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 s="7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 s="5">
        <v>29</v>
      </c>
      <c r="C2812">
        <v>50.78</v>
      </c>
      <c r="D2812">
        <v>7</v>
      </c>
      <c r="E2812" s="5">
        <v>1472.62</v>
      </c>
      <c r="F2812" s="3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s="7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 s="5">
        <v>37</v>
      </c>
      <c r="C2813">
        <v>45.86</v>
      </c>
      <c r="D2813">
        <v>10</v>
      </c>
      <c r="E2813" s="5">
        <v>1696.82</v>
      </c>
      <c r="F2813" s="3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s="7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 s="5">
        <v>33</v>
      </c>
      <c r="C2814">
        <v>51.32</v>
      </c>
      <c r="D2814">
        <v>12</v>
      </c>
      <c r="E2814" s="5">
        <v>1693.56</v>
      </c>
      <c r="F2814" s="3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s="7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 s="5">
        <v>32</v>
      </c>
      <c r="C2815">
        <v>60.06</v>
      </c>
      <c r="D2815">
        <v>1</v>
      </c>
      <c r="E2815" s="5">
        <v>1921.92</v>
      </c>
      <c r="F2815" s="3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s="7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 s="5">
        <v>35</v>
      </c>
      <c r="C2816">
        <v>59.51</v>
      </c>
      <c r="D2816">
        <v>6</v>
      </c>
      <c r="E2816" s="5">
        <v>2082.85</v>
      </c>
      <c r="F2816" s="3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s="7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 s="5">
        <v>40</v>
      </c>
      <c r="C2817">
        <v>55.69</v>
      </c>
      <c r="D2817">
        <v>5</v>
      </c>
      <c r="E2817" s="5">
        <v>2227.6</v>
      </c>
      <c r="F2817" s="3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s="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 s="5">
        <v>37</v>
      </c>
      <c r="C2818">
        <v>86.74</v>
      </c>
      <c r="D2818">
        <v>4</v>
      </c>
      <c r="E2818" s="5">
        <v>3209.38</v>
      </c>
      <c r="F2818" s="3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s="7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 s="5">
        <v>42</v>
      </c>
      <c r="C2819">
        <v>97.16</v>
      </c>
      <c r="D2819">
        <v>5</v>
      </c>
      <c r="E2819" s="5">
        <v>4080.72</v>
      </c>
      <c r="F2819" s="3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 s="7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 s="5">
        <v>20</v>
      </c>
      <c r="C2820">
        <v>100</v>
      </c>
      <c r="D2820">
        <v>15</v>
      </c>
      <c r="E2820" s="5">
        <v>2244.4</v>
      </c>
      <c r="F2820" s="3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s="7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 s="5">
        <v>29</v>
      </c>
      <c r="C2821">
        <v>100</v>
      </c>
      <c r="D2821">
        <v>1</v>
      </c>
      <c r="E2821" s="5">
        <v>3978.51</v>
      </c>
      <c r="F2821" s="3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s="7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 s="5">
        <v>43</v>
      </c>
      <c r="C2822">
        <v>100</v>
      </c>
      <c r="D2822">
        <v>4</v>
      </c>
      <c r="E2822" s="5">
        <v>5417.57</v>
      </c>
      <c r="F2822" s="3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s="7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 s="5">
        <v>34</v>
      </c>
      <c r="C2823">
        <v>62.24</v>
      </c>
      <c r="D2823">
        <v>1</v>
      </c>
      <c r="E2823" s="5">
        <v>2116.16</v>
      </c>
      <c r="F2823" s="3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s="7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 s="5">
        <v>47</v>
      </c>
      <c r="C2824">
        <v>65.52</v>
      </c>
      <c r="D2824">
        <v>9</v>
      </c>
      <c r="E2824" s="5">
        <v>3079.44</v>
      </c>
      <c r="F2824" s="3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 s="7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Year</vt:lpstr>
      <vt:lpstr>Sales by Product Line</vt:lpstr>
      <vt:lpstr>Sales by Country</vt:lpstr>
      <vt:lpstr>sales_data_sample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computer</cp:lastModifiedBy>
  <dcterms:modified xsi:type="dcterms:W3CDTF">2026-01-18T10:00:38Z</dcterms:modified>
</cp:coreProperties>
</file>